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21a21252119cda1c/Data Analytics/Assignments/"/>
    </mc:Choice>
  </mc:AlternateContent>
  <xr:revisionPtr revIDLastSave="128" documentId="8_{3C7E3226-8616-4D55-9AF2-0B8DBF53BD12}" xr6:coauthVersionLast="47" xr6:coauthVersionMax="47" xr10:uidLastSave="{A55013BA-078D-4524-9F2C-A6C46AE6645D}"/>
  <bookViews>
    <workbookView xWindow="-108" yWindow="-108" windowWidth="23256" windowHeight="12456" activeTab="2" xr2:uid="{00000000-000D-0000-FFFF-FFFF00000000}"/>
  </bookViews>
  <sheets>
    <sheet name="Instructions" sheetId="1" r:id="rId1"/>
    <sheet name="Dataset" sheetId="2" r:id="rId2"/>
    <sheet name="Answe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xxdYPntQl+bO0ka4qHfhA4BnM4OowOuFpS2wlv4H/kM="/>
    </ext>
  </extLst>
</workbook>
</file>

<file path=xl/calcChain.xml><?xml version="1.0" encoding="utf-8"?>
<calcChain xmlns="http://schemas.openxmlformats.org/spreadsheetml/2006/main">
  <c r="J2" i="3" l="1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I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H2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2" i="3"/>
</calcChain>
</file>

<file path=xl/sharedStrings.xml><?xml version="1.0" encoding="utf-8"?>
<sst xmlns="http://schemas.openxmlformats.org/spreadsheetml/2006/main" count="317" uniqueCount="126">
  <si>
    <t>Perform the following in the dataset from the 'Dataset' sheet.</t>
  </si>
  <si>
    <t>1) Sum, Count, Average:</t>
  </si>
  <si>
    <t>• What is the total price of all products in the dataset?</t>
  </si>
  <si>
    <t>• How many products are there in the dataset?</t>
  </si>
  <si>
    <t>• Calculate the average price of the products.</t>
  </si>
  <si>
    <t>2) Min and Max:</t>
  </si>
  <si>
    <t>• Determine the minimum price among all products.</t>
  </si>
  <si>
    <t>• Find the maximum price among all products.</t>
  </si>
  <si>
    <t>3) IF Function:</t>
  </si>
  <si>
    <t>• Using an IF function, create a new column named Price Range to categorize products with a price greater than or equal to $500 as 'High Price' and others as 'Standard Price'.</t>
  </si>
  <si>
    <t>4) SUMIF and COUNTIF:</t>
  </si>
  <si>
    <t>• Calculate the total price for products in the 'Electronics' category using the SUMIF function.</t>
  </si>
  <si>
    <t>• Determine the count of products with a price less than $100 using the COUNTIF function.</t>
  </si>
  <si>
    <t>5) Text Formatting - LEFT, RIGHT, MID:</t>
  </si>
  <si>
    <t>• Create a new column named Day with the first 2 characters of each 'Product ID' using the LEFT function.</t>
  </si>
  <si>
    <t>• Create a new column named Country Code by extracting the last 2 characters from the 'Product ID' column using the RIGHT function.</t>
  </si>
  <si>
    <t>• Create a new column named Month by extracting 4th to 6th characters from the 'Product ID' column using the MID function.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</si>
  <si>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</si>
  <si>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</si>
  <si>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</si>
  <si>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</si>
  <si>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</si>
  <si>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</si>
  <si>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</si>
  <si>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</si>
  <si>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</si>
  <si>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</si>
  <si>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</si>
  <si>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</si>
  <si>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</si>
  <si>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</si>
  <si>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</si>
  <si>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</si>
  <si>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</si>
  <si>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</si>
  <si>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</si>
  <si>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</si>
  <si>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</si>
  <si>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</si>
  <si>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</si>
  <si>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</si>
  <si>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</si>
  <si>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</si>
  <si>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</si>
  <si>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</si>
  <si>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</si>
  <si>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</si>
  <si>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</si>
  <si>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</si>
  <si>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</si>
  <si>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</si>
  <si>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</si>
  <si>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</si>
  <si>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</si>
  <si>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</si>
  <si>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</si>
  <si>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</si>
  <si>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</si>
  <si>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</si>
  <si>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</si>
  <si>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</si>
  <si>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</si>
  <si>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</si>
  <si>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</si>
  <si>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</si>
  <si>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</si>
  <si>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</si>
  <si>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</si>
  <si>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</si>
  <si>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</si>
  <si>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</si>
  <si>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</si>
  <si>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</si>
  <si>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</si>
  <si>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</si>
  <si>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</si>
  <si>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</si>
  <si>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</si>
  <si>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</si>
  <si>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</si>
  <si>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</si>
  <si>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</si>
  <si>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</si>
  <si>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</si>
  <si>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</si>
  <si>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</si>
  <si>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</si>
  <si>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</si>
  <si>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</si>
  <si>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</si>
  <si>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</si>
  <si>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</si>
  <si>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</si>
  <si>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</si>
  <si>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</si>
  <si>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</si>
  <si>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</si>
  <si>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</si>
  <si>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</si>
  <si>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</si>
  <si>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</si>
  <si>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</si>
  <si>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</si>
  <si>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</si>
  <si>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</si>
  <si>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</si>
  <si>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</si>
  <si>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</si>
  <si>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</si>
  <si>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</si>
  <si>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ANSWERS</t>
  </si>
  <si>
    <t>1)</t>
  </si>
  <si>
    <t>b) 34</t>
  </si>
  <si>
    <t>c) 297.0588235</t>
  </si>
  <si>
    <t>2)</t>
  </si>
  <si>
    <t>a) 30</t>
  </si>
  <si>
    <t>b) 1000</t>
  </si>
  <si>
    <t>Price Range</t>
  </si>
  <si>
    <t>4)</t>
  </si>
  <si>
    <t>a) $8050</t>
  </si>
  <si>
    <t>a) $10100</t>
  </si>
  <si>
    <t>b) 11</t>
  </si>
  <si>
    <t>Day</t>
  </si>
  <si>
    <t>Country Code</t>
  </si>
  <si>
    <t>Month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</si>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</sst>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.00"/>
  </numFmts>
  <fonts count="12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b/>
      <sz val="10"/>
      <color theme="1"/>
      <name val="Arial"/>
    </font>
    <font>
      <sz val="10"/>
      <color theme="1"/>
      <name val="Arial"/>
    </font>
    <font>
      <sz val="10"/>
      <color theme="1"/>
      <name val="Arial"/>
      <family val="2"/>
    </font>
    <font>
      <b/>
      <u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color rgb="FFFF0000"/>
      <name val="Arial"/>
      <family val="2"/>
      <scheme val="minor"/>
    </font>
    <font>
      <b/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/>
    <xf numFmtId="0" fontId="6" fillId="3" borderId="0" xfId="0" applyFont="1" applyFill="1"/>
    <xf numFmtId="0" fontId="6" fillId="4" borderId="0" xfId="0" applyFont="1" applyFill="1"/>
    <xf numFmtId="0" fontId="8" fillId="5" borderId="0" xfId="0" applyFont="1" applyFill="1" applyAlignment="1">
      <alignment horizontal="center" vertical="center"/>
    </xf>
    <xf numFmtId="0" fontId="9" fillId="0" borderId="0" xfId="0" applyFont="1"/>
    <xf numFmtId="0" fontId="10" fillId="0" borderId="0" xfId="0" applyFont="1" applyAlignment="1">
      <alignment horizontal="left"/>
    </xf>
    <xf numFmtId="0" fontId="7" fillId="0" borderId="0" xfId="0" applyFont="1"/>
    <xf numFmtId="164" fontId="9" fillId="0" borderId="0" xfId="0" applyNumberFormat="1" applyFont="1"/>
    <xf numFmtId="0" fontId="10" fillId="0" borderId="0" xfId="0" applyFont="1"/>
    <xf numFmtId="0" fontId="11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7" fillId="3" borderId="0" xfId="0" applyFont="1" applyFill="1"/>
    <xf numFmtId="0" fontId="11" fillId="2" borderId="0" xfId="0" applyFont="1" applyFill="1" applyAlignment="1">
      <alignment horizontal="center"/>
    </xf>
  </cellXfs>
  <cellStyles count="1">
    <cellStyle name="Normal" xfId="0" builtinId="0"/>
  </cellStyles>
  <dxfs count="13">
    <dxf>
      <font>
        <b/>
        <i val="0"/>
        <strike val="0"/>
        <condense val="0"/>
        <extend val="0"/>
        <outline val="0"/>
        <shadow val="0"/>
        <u/>
        <vertAlign val="baseline"/>
        <sz val="10"/>
        <color rgb="FF000000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4DD0E1"/>
          <bgColor rgb="FF4DD0E1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1" Type="http://schemas.openxmlformats.org/officeDocument/2006/relationships/calcChain" Target="calcChain.xml"/><Relationship Id="rId10" Type="http://schemas.microsoft.com/office/2017/10/relationships/person" Target="persons/person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2F12304-ACA0-4E5B-B16F-0D62736902BD}" name="Table3" displayName="Table3" ref="A1:J35" totalsRowShown="0" headerRowDxfId="12" dataDxfId="11">
  <autoFilter ref="A1:J35" xr:uid="{D2F12304-ACA0-4E5B-B16F-0D62736902BD}"/>
  <tableColumns count="10">
    <tableColumn id="1" xr3:uid="{8753115F-BF0F-47FC-8E67-8B74B027D678}" name="Product ID" dataDxfId="10"/>
    <tableColumn id="2" xr3:uid="{70828E92-5203-4A47-BC03-9965BA7F65C3}" name="Product Name" dataDxfId="9"/>
    <tableColumn id="3" xr3:uid="{1511E27C-732B-47BB-9BAD-4F6A30553E47}" name="Brand Name" dataDxfId="8"/>
    <tableColumn id="4" xr3:uid="{63E43925-8444-416D-8E47-F60002DBE135}" name="Price ($)" dataDxfId="7"/>
    <tableColumn id="5" xr3:uid="{5E718CDF-1AA5-45B3-BE6E-7E94FC4A197E}" name="Quantity" dataDxfId="6"/>
    <tableColumn id="6" xr3:uid="{AA0D4004-2AB0-4EF2-A6E2-7A73B493A2D3}" name="Category" dataDxfId="5"/>
    <tableColumn id="7" xr3:uid="{D3CEDD3F-F617-45BB-801C-8ABDB620B143}" name="Price Range" dataDxfId="4">
      <calculatedColumnFormula>IF(D2&gt;=500,"High Price","Low Price")</calculatedColumnFormula>
    </tableColumn>
    <tableColumn id="8" xr3:uid="{8AE48FC9-25C0-441C-AC4A-740DD79D51F3}" name="Day" dataDxfId="3">
      <calculatedColumnFormula>LEFT(Table3[[#This Row],[Product ID]],2)</calculatedColumnFormula>
    </tableColumn>
    <tableColumn id="9" xr3:uid="{94654BB5-7568-4A75-8D69-473429C82F57}" name="Country Code" dataDxfId="2">
      <calculatedColumnFormula>RIGHT(Table3[[#This Row],[Product ID]],2)</calculatedColumnFormula>
    </tableColumn>
    <tableColumn id="10" xr3:uid="{545ADCAE-8A9A-46DF-B025-7BF0139264BF}" name="Month" dataDxfId="1">
      <calculatedColumnFormula>MID(Table3[[#This Row],[Product ID]],4,3)</calculatedColumnFormula>
    </tableColumn>
  </tableColumns>
  <tableStyleInfo name="TableStyleLight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F241312-5F62-49A9-8DA2-8E9AE85A51B1}" name="Table2" displayName="Table2" ref="I38:I53" totalsRowShown="0" headerRowDxfId="0">
  <autoFilter ref="I38:I53" xr:uid="{1F241312-5F62-49A9-8DA2-8E9AE85A51B1}"/>
  <tableColumns count="1">
    <tableColumn id="1" xr3:uid="{AFA487FC-6BBE-4F47-96F2-947CB8E26DE6}" name="Column1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000"/>
  <sheetViews>
    <sheetView showGridLines="0" zoomScale="91" workbookViewId="0"/>
  </sheetViews>
  <sheetFormatPr defaultColWidth="12.6640625" defaultRowHeight="15" customHeight="1" x14ac:dyDescent="0.25"/>
  <cols>
    <col min="1" max="1" width="12.6640625" customWidth="1"/>
    <col min="2" max="2" width="7.44140625" customWidth="1"/>
    <col min="3" max="6" width="12.6640625" customWidth="1"/>
  </cols>
  <sheetData>
    <row r="1" spans="1:3" ht="15.75" customHeight="1" x14ac:dyDescent="0.25">
      <c r="A1" s="1" t="s">
        <v>0</v>
      </c>
    </row>
    <row r="2" spans="1:3" ht="15.75" customHeight="1" x14ac:dyDescent="0.25"/>
    <row r="3" spans="1:3" ht="15.75" customHeight="1" x14ac:dyDescent="0.3">
      <c r="B3" s="2" t="s">
        <v>1</v>
      </c>
    </row>
    <row r="4" spans="1:3" ht="15.75" customHeight="1" x14ac:dyDescent="0.3">
      <c r="B4" s="2"/>
      <c r="C4" s="3" t="s">
        <v>2</v>
      </c>
    </row>
    <row r="5" spans="1:3" ht="15.75" customHeight="1" x14ac:dyDescent="0.3">
      <c r="B5" s="2"/>
      <c r="C5" s="3" t="s">
        <v>3</v>
      </c>
    </row>
    <row r="6" spans="1:3" ht="15.75" customHeight="1" x14ac:dyDescent="0.3">
      <c r="B6" s="2"/>
      <c r="C6" s="3" t="s">
        <v>4</v>
      </c>
    </row>
    <row r="7" spans="1:3" ht="15.75" customHeight="1" x14ac:dyDescent="0.3">
      <c r="B7" s="4"/>
    </row>
    <row r="8" spans="1:3" ht="15.75" customHeight="1" x14ac:dyDescent="0.3">
      <c r="B8" s="2" t="s">
        <v>5</v>
      </c>
    </row>
    <row r="9" spans="1:3" ht="15.75" customHeight="1" x14ac:dyDescent="0.3">
      <c r="C9" s="3" t="s">
        <v>6</v>
      </c>
    </row>
    <row r="10" spans="1:3" ht="15.75" customHeight="1" x14ac:dyDescent="0.3">
      <c r="C10" s="3" t="s">
        <v>7</v>
      </c>
    </row>
    <row r="11" spans="1:3" ht="15.75" customHeight="1" x14ac:dyDescent="0.3">
      <c r="B11" s="4"/>
    </row>
    <row r="12" spans="1:3" ht="15.75" customHeight="1" x14ac:dyDescent="0.3">
      <c r="B12" s="2" t="s">
        <v>8</v>
      </c>
    </row>
    <row r="13" spans="1:3" ht="15.75" customHeight="1" x14ac:dyDescent="0.3">
      <c r="C13" s="3" t="s">
        <v>9</v>
      </c>
    </row>
    <row r="14" spans="1:3" ht="15.75" customHeight="1" x14ac:dyDescent="0.3">
      <c r="B14" s="4"/>
    </row>
    <row r="15" spans="1:3" ht="15.75" customHeight="1" x14ac:dyDescent="0.3">
      <c r="B15" s="2" t="s">
        <v>10</v>
      </c>
    </row>
    <row r="16" spans="1:3" ht="15.75" customHeight="1" x14ac:dyDescent="0.3">
      <c r="C16" s="3" t="s">
        <v>11</v>
      </c>
    </row>
    <row r="17" spans="2:3" ht="15.75" customHeight="1" x14ac:dyDescent="0.3">
      <c r="C17" s="3" t="s">
        <v>12</v>
      </c>
    </row>
    <row r="18" spans="2:3" ht="15.75" customHeight="1" x14ac:dyDescent="0.3">
      <c r="B18" s="4"/>
    </row>
    <row r="19" spans="2:3" ht="15.75" customHeight="1" x14ac:dyDescent="0.3">
      <c r="B19" s="2" t="s">
        <v>13</v>
      </c>
    </row>
    <row r="20" spans="2:3" ht="15.75" customHeight="1" x14ac:dyDescent="0.3">
      <c r="C20" s="3" t="s">
        <v>14</v>
      </c>
    </row>
    <row r="21" spans="2:3" ht="15.75" customHeight="1" x14ac:dyDescent="0.3">
      <c r="C21" s="3" t="s">
        <v>15</v>
      </c>
    </row>
    <row r="22" spans="2:3" ht="15.75" customHeight="1" x14ac:dyDescent="0.3">
      <c r="C22" s="3" t="s">
        <v>16</v>
      </c>
    </row>
    <row r="23" spans="2:3" ht="15.75" customHeight="1" x14ac:dyDescent="0.3">
      <c r="B23" s="4"/>
    </row>
    <row r="24" spans="2:3" ht="15.75" customHeight="1" x14ac:dyDescent="0.25"/>
    <row r="25" spans="2:3" ht="15.75" customHeight="1" x14ac:dyDescent="0.25"/>
    <row r="26" spans="2:3" ht="15.75" customHeight="1" x14ac:dyDescent="0.25"/>
    <row r="27" spans="2:3" ht="15.75" customHeight="1" x14ac:dyDescent="0.25"/>
    <row r="28" spans="2:3" ht="15.75" customHeight="1" x14ac:dyDescent="0.25"/>
    <row r="29" spans="2:3" ht="15.75" customHeight="1" x14ac:dyDescent="0.25"/>
    <row r="30" spans="2:3" ht="15.75" customHeight="1" x14ac:dyDescent="0.25"/>
    <row r="31" spans="2:3" ht="15.75" customHeight="1" x14ac:dyDescent="0.25"/>
    <row r="32" spans="2:3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1000"/>
  <sheetViews>
    <sheetView zoomScale="46" zoomScaleNormal="25" workbookViewId="0">
      <selection activeCell="D22" sqref="D22"/>
    </sheetView>
  </sheetViews>
  <sheetFormatPr defaultColWidth="12.6640625" defaultRowHeight="15" customHeight="1" x14ac:dyDescent="0.25"/>
  <cols>
    <col min="1" max="1" width="12.6640625" customWidth="1"/>
    <col min="2" max="2" width="14.109375" customWidth="1"/>
    <col min="3" max="6" width="12.6640625" customWidth="1"/>
  </cols>
  <sheetData>
    <row r="1" spans="1:7" ht="15.75" customHeight="1" x14ac:dyDescent="0.25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6"/>
    </row>
    <row r="2" spans="1:7" ht="15.75" customHeight="1" x14ac:dyDescent="0.25">
      <c r="A2" s="7" t="s">
        <v>23</v>
      </c>
      <c r="B2" s="7" t="s">
        <v>24</v>
      </c>
      <c r="C2" s="7" t="s">
        <v>25</v>
      </c>
      <c r="D2" s="7">
        <v>1000</v>
      </c>
      <c r="E2" s="7">
        <v>30</v>
      </c>
      <c r="F2" s="7" t="s">
        <v>26</v>
      </c>
      <c r="G2" s="7"/>
    </row>
    <row r="3" spans="1:7" ht="15.75" customHeight="1" x14ac:dyDescent="0.25">
      <c r="A3" s="8" t="s">
        <v>27</v>
      </c>
      <c r="B3" s="8" t="s">
        <v>28</v>
      </c>
      <c r="C3" s="8" t="s">
        <v>29</v>
      </c>
      <c r="D3" s="8">
        <v>80</v>
      </c>
      <c r="E3" s="8">
        <v>15</v>
      </c>
      <c r="F3" s="8" t="s">
        <v>30</v>
      </c>
      <c r="G3" s="7"/>
    </row>
    <row r="4" spans="1:7" ht="15.75" customHeight="1" x14ac:dyDescent="0.25">
      <c r="A4" s="7" t="s">
        <v>31</v>
      </c>
      <c r="B4" s="7" t="s">
        <v>32</v>
      </c>
      <c r="C4" s="7" t="s">
        <v>33</v>
      </c>
      <c r="D4" s="7">
        <v>130</v>
      </c>
      <c r="E4" s="7">
        <v>40</v>
      </c>
      <c r="F4" s="7" t="s">
        <v>34</v>
      </c>
      <c r="G4" s="7"/>
    </row>
    <row r="5" spans="1:7" ht="15.75" customHeight="1" x14ac:dyDescent="0.25">
      <c r="A5" s="8" t="s">
        <v>35</v>
      </c>
      <c r="B5" s="8" t="s">
        <v>36</v>
      </c>
      <c r="C5" s="8" t="s">
        <v>37</v>
      </c>
      <c r="D5" s="8">
        <v>900</v>
      </c>
      <c r="E5" s="8">
        <v>25</v>
      </c>
      <c r="F5" s="8" t="s">
        <v>26</v>
      </c>
      <c r="G5" s="7"/>
    </row>
    <row r="6" spans="1:7" ht="15.75" customHeight="1" x14ac:dyDescent="0.25">
      <c r="A6" s="7" t="s">
        <v>38</v>
      </c>
      <c r="B6" s="7" t="s">
        <v>39</v>
      </c>
      <c r="C6" s="7" t="s">
        <v>40</v>
      </c>
      <c r="D6" s="7">
        <v>70</v>
      </c>
      <c r="E6" s="7">
        <v>20</v>
      </c>
      <c r="F6" s="7" t="s">
        <v>41</v>
      </c>
      <c r="G6" s="7"/>
    </row>
    <row r="7" spans="1:7" ht="15.75" customHeight="1" x14ac:dyDescent="0.25">
      <c r="A7" s="8" t="s">
        <v>42</v>
      </c>
      <c r="B7" s="8" t="s">
        <v>43</v>
      </c>
      <c r="C7" s="8" t="s">
        <v>44</v>
      </c>
      <c r="D7" s="8">
        <v>200</v>
      </c>
      <c r="E7" s="8">
        <v>45</v>
      </c>
      <c r="F7" s="8" t="s">
        <v>26</v>
      </c>
      <c r="G7" s="7"/>
    </row>
    <row r="8" spans="1:7" ht="15.75" customHeight="1" x14ac:dyDescent="0.25">
      <c r="A8" s="7" t="s">
        <v>45</v>
      </c>
      <c r="B8" s="7" t="s">
        <v>46</v>
      </c>
      <c r="C8" s="7" t="s">
        <v>47</v>
      </c>
      <c r="D8" s="7">
        <v>30</v>
      </c>
      <c r="E8" s="7">
        <v>5</v>
      </c>
      <c r="F8" s="7" t="s">
        <v>30</v>
      </c>
      <c r="G8" s="7"/>
    </row>
    <row r="9" spans="1:7" ht="15.75" customHeight="1" x14ac:dyDescent="0.25">
      <c r="A9" s="8" t="s">
        <v>48</v>
      </c>
      <c r="B9" s="8" t="s">
        <v>49</v>
      </c>
      <c r="C9" s="8" t="s">
        <v>50</v>
      </c>
      <c r="D9" s="8">
        <v>90</v>
      </c>
      <c r="E9" s="8">
        <v>35</v>
      </c>
      <c r="F9" s="8" t="s">
        <v>34</v>
      </c>
      <c r="G9" s="7"/>
    </row>
    <row r="10" spans="1:7" ht="15.75" customHeight="1" x14ac:dyDescent="0.25">
      <c r="A10" s="7" t="s">
        <v>51</v>
      </c>
      <c r="B10" s="7" t="s">
        <v>52</v>
      </c>
      <c r="C10" s="7" t="s">
        <v>53</v>
      </c>
      <c r="D10" s="7">
        <v>500</v>
      </c>
      <c r="E10" s="7">
        <v>50</v>
      </c>
      <c r="F10" s="7" t="s">
        <v>26</v>
      </c>
      <c r="G10" s="7"/>
    </row>
    <row r="11" spans="1:7" ht="15.75" customHeight="1" x14ac:dyDescent="0.25">
      <c r="A11" s="8" t="s">
        <v>54</v>
      </c>
      <c r="B11" s="8" t="s">
        <v>55</v>
      </c>
      <c r="C11" s="8" t="s">
        <v>56</v>
      </c>
      <c r="D11" s="8">
        <v>130</v>
      </c>
      <c r="E11" s="8">
        <v>10</v>
      </c>
      <c r="F11" s="8" t="s">
        <v>41</v>
      </c>
      <c r="G11" s="7"/>
    </row>
    <row r="12" spans="1:7" ht="15.75" customHeight="1" x14ac:dyDescent="0.25">
      <c r="A12" s="7" t="s">
        <v>57</v>
      </c>
      <c r="B12" s="7" t="s">
        <v>24</v>
      </c>
      <c r="C12" s="7" t="s">
        <v>58</v>
      </c>
      <c r="D12" s="7">
        <v>950</v>
      </c>
      <c r="E12" s="7">
        <v>25</v>
      </c>
      <c r="F12" s="7" t="s">
        <v>26</v>
      </c>
      <c r="G12" s="7"/>
    </row>
    <row r="13" spans="1:7" ht="15.75" customHeight="1" x14ac:dyDescent="0.25">
      <c r="A13" s="8" t="s">
        <v>59</v>
      </c>
      <c r="B13" s="8" t="s">
        <v>28</v>
      </c>
      <c r="C13" s="8" t="s">
        <v>47</v>
      </c>
      <c r="D13" s="8">
        <v>90</v>
      </c>
      <c r="E13" s="8">
        <v>40</v>
      </c>
      <c r="F13" s="8" t="s">
        <v>30</v>
      </c>
      <c r="G13" s="7"/>
    </row>
    <row r="14" spans="1:7" ht="15.75" customHeight="1" x14ac:dyDescent="0.25">
      <c r="A14" s="7" t="s">
        <v>60</v>
      </c>
      <c r="B14" s="7" t="s">
        <v>32</v>
      </c>
      <c r="C14" s="7" t="s">
        <v>61</v>
      </c>
      <c r="D14" s="7">
        <v>120</v>
      </c>
      <c r="E14" s="7">
        <v>35</v>
      </c>
      <c r="F14" s="7" t="s">
        <v>34</v>
      </c>
      <c r="G14" s="7"/>
    </row>
    <row r="15" spans="1:7" ht="15.75" customHeight="1" x14ac:dyDescent="0.25">
      <c r="A15" s="8" t="s">
        <v>62</v>
      </c>
      <c r="B15" s="8" t="s">
        <v>63</v>
      </c>
      <c r="C15" s="8" t="s">
        <v>64</v>
      </c>
      <c r="D15" s="8">
        <v>150</v>
      </c>
      <c r="E15" s="8">
        <v>15</v>
      </c>
      <c r="F15" s="8" t="s">
        <v>26</v>
      </c>
      <c r="G15" s="7"/>
    </row>
    <row r="16" spans="1:7" ht="15.75" customHeight="1" x14ac:dyDescent="0.25">
      <c r="A16" s="7" t="s">
        <v>65</v>
      </c>
      <c r="B16" s="7" t="s">
        <v>43</v>
      </c>
      <c r="C16" s="7" t="s">
        <v>66</v>
      </c>
      <c r="D16" s="7">
        <v>250</v>
      </c>
      <c r="E16" s="7">
        <v>20</v>
      </c>
      <c r="F16" s="7" t="s">
        <v>26</v>
      </c>
      <c r="G16" s="7"/>
    </row>
    <row r="17" spans="1:7" ht="15.75" customHeight="1" x14ac:dyDescent="0.25">
      <c r="A17" s="8" t="s">
        <v>67</v>
      </c>
      <c r="B17" s="8" t="s">
        <v>68</v>
      </c>
      <c r="C17" s="8" t="s">
        <v>69</v>
      </c>
      <c r="D17" s="8">
        <v>50</v>
      </c>
      <c r="E17" s="8">
        <v>35</v>
      </c>
      <c r="F17" s="8" t="s">
        <v>70</v>
      </c>
      <c r="G17" s="7"/>
    </row>
    <row r="18" spans="1:7" ht="15.75" customHeight="1" x14ac:dyDescent="0.25">
      <c r="A18" s="7" t="s">
        <v>71</v>
      </c>
      <c r="B18" s="7" t="s">
        <v>63</v>
      </c>
      <c r="C18" s="7" t="s">
        <v>72</v>
      </c>
      <c r="D18" s="7">
        <v>160</v>
      </c>
      <c r="E18" s="7">
        <v>15</v>
      </c>
      <c r="F18" s="7" t="s">
        <v>26</v>
      </c>
      <c r="G18" s="7"/>
    </row>
    <row r="19" spans="1:7" ht="15.75" customHeight="1" x14ac:dyDescent="0.25">
      <c r="A19" s="8" t="s">
        <v>73</v>
      </c>
      <c r="B19" s="8" t="s">
        <v>24</v>
      </c>
      <c r="C19" s="8" t="s">
        <v>74</v>
      </c>
      <c r="D19" s="8">
        <v>980</v>
      </c>
      <c r="E19" s="8">
        <v>10</v>
      </c>
      <c r="F19" s="8" t="s">
        <v>26</v>
      </c>
      <c r="G19" s="7"/>
    </row>
    <row r="20" spans="1:7" ht="15.75" customHeight="1" x14ac:dyDescent="0.25">
      <c r="A20" s="7" t="s">
        <v>75</v>
      </c>
      <c r="B20" s="7" t="s">
        <v>76</v>
      </c>
      <c r="C20" s="7" t="s">
        <v>77</v>
      </c>
      <c r="D20" s="7">
        <v>150</v>
      </c>
      <c r="E20" s="7">
        <v>15</v>
      </c>
      <c r="F20" s="7" t="s">
        <v>30</v>
      </c>
      <c r="G20" s="7"/>
    </row>
    <row r="21" spans="1:7" ht="15.75" customHeight="1" x14ac:dyDescent="0.25">
      <c r="A21" s="8" t="s">
        <v>78</v>
      </c>
      <c r="B21" s="8" t="s">
        <v>79</v>
      </c>
      <c r="C21" s="8" t="s">
        <v>80</v>
      </c>
      <c r="D21" s="8">
        <v>200</v>
      </c>
      <c r="E21" s="8">
        <v>10</v>
      </c>
      <c r="F21" s="8" t="s">
        <v>41</v>
      </c>
      <c r="G21" s="7"/>
    </row>
    <row r="22" spans="1:7" ht="15.75" customHeight="1" x14ac:dyDescent="0.25">
      <c r="A22" s="7" t="s">
        <v>81</v>
      </c>
      <c r="B22" s="7" t="s">
        <v>82</v>
      </c>
      <c r="C22" s="7" t="s">
        <v>83</v>
      </c>
      <c r="D22" s="7">
        <v>700</v>
      </c>
      <c r="E22" s="7">
        <v>50</v>
      </c>
      <c r="F22" s="7" t="s">
        <v>26</v>
      </c>
      <c r="G22" s="7"/>
    </row>
    <row r="23" spans="1:7" ht="15.75" customHeight="1" x14ac:dyDescent="0.25">
      <c r="A23" s="8" t="s">
        <v>84</v>
      </c>
      <c r="B23" s="8" t="s">
        <v>85</v>
      </c>
      <c r="C23" s="8" t="s">
        <v>86</v>
      </c>
      <c r="D23" s="8">
        <v>80</v>
      </c>
      <c r="E23" s="8">
        <v>20</v>
      </c>
      <c r="F23" s="8" t="s">
        <v>34</v>
      </c>
      <c r="G23" s="7"/>
    </row>
    <row r="24" spans="1:7" ht="15.75" customHeight="1" x14ac:dyDescent="0.25">
      <c r="A24" s="7" t="s">
        <v>87</v>
      </c>
      <c r="B24" s="7" t="s">
        <v>88</v>
      </c>
      <c r="C24" s="7" t="s">
        <v>89</v>
      </c>
      <c r="D24" s="7">
        <v>150</v>
      </c>
      <c r="E24" s="7">
        <v>30</v>
      </c>
      <c r="F24" s="7" t="s">
        <v>26</v>
      </c>
      <c r="G24" s="7"/>
    </row>
    <row r="25" spans="1:7" ht="15.75" customHeight="1" x14ac:dyDescent="0.25">
      <c r="A25" s="8" t="s">
        <v>67</v>
      </c>
      <c r="B25" s="8" t="s">
        <v>68</v>
      </c>
      <c r="C25" s="8" t="s">
        <v>69</v>
      </c>
      <c r="D25" s="8">
        <v>50</v>
      </c>
      <c r="E25" s="8">
        <v>35</v>
      </c>
      <c r="F25" s="8" t="s">
        <v>70</v>
      </c>
      <c r="G25" s="9"/>
    </row>
    <row r="26" spans="1:7" ht="15.75" customHeight="1" x14ac:dyDescent="0.25">
      <c r="A26" s="7" t="s">
        <v>90</v>
      </c>
      <c r="B26" s="7" t="s">
        <v>36</v>
      </c>
      <c r="C26" s="7" t="s">
        <v>91</v>
      </c>
      <c r="D26" s="7">
        <v>800</v>
      </c>
      <c r="E26" s="7">
        <v>45</v>
      </c>
      <c r="F26" s="7" t="s">
        <v>26</v>
      </c>
      <c r="G26" s="7"/>
    </row>
    <row r="27" spans="1:7" ht="15.75" customHeight="1" x14ac:dyDescent="0.25">
      <c r="A27" s="8" t="s">
        <v>92</v>
      </c>
      <c r="B27" s="8" t="s">
        <v>76</v>
      </c>
      <c r="C27" s="8" t="s">
        <v>93</v>
      </c>
      <c r="D27" s="8">
        <v>130</v>
      </c>
      <c r="E27" s="8">
        <v>25</v>
      </c>
      <c r="F27" s="8" t="s">
        <v>30</v>
      </c>
      <c r="G27" s="7"/>
    </row>
    <row r="28" spans="1:7" ht="15.75" customHeight="1" x14ac:dyDescent="0.25">
      <c r="A28" s="7" t="s">
        <v>94</v>
      </c>
      <c r="B28" s="7" t="s">
        <v>49</v>
      </c>
      <c r="C28" s="7" t="s">
        <v>95</v>
      </c>
      <c r="D28" s="7">
        <v>400</v>
      </c>
      <c r="E28" s="7">
        <v>40</v>
      </c>
      <c r="F28" s="7" t="s">
        <v>34</v>
      </c>
      <c r="G28" s="7"/>
    </row>
    <row r="29" spans="1:7" ht="15.75" customHeight="1" x14ac:dyDescent="0.25">
      <c r="A29" s="8" t="s">
        <v>65</v>
      </c>
      <c r="B29" s="8" t="s">
        <v>43</v>
      </c>
      <c r="C29" s="8" t="s">
        <v>66</v>
      </c>
      <c r="D29" s="8">
        <v>230</v>
      </c>
      <c r="E29" s="8">
        <v>20</v>
      </c>
      <c r="F29" s="8" t="s">
        <v>26</v>
      </c>
      <c r="G29" s="9"/>
    </row>
    <row r="30" spans="1:7" ht="15.75" customHeight="1" x14ac:dyDescent="0.25">
      <c r="A30" s="7" t="s">
        <v>96</v>
      </c>
      <c r="B30" s="7" t="s">
        <v>97</v>
      </c>
      <c r="C30" s="7" t="s">
        <v>98</v>
      </c>
      <c r="D30" s="7">
        <v>60</v>
      </c>
      <c r="E30" s="7">
        <v>30</v>
      </c>
      <c r="F30" s="7" t="s">
        <v>30</v>
      </c>
      <c r="G30" s="7"/>
    </row>
    <row r="31" spans="1:7" ht="15.75" customHeight="1" x14ac:dyDescent="0.25">
      <c r="A31" s="8" t="s">
        <v>99</v>
      </c>
      <c r="B31" s="8" t="s">
        <v>100</v>
      </c>
      <c r="C31" s="8" t="s">
        <v>101</v>
      </c>
      <c r="D31" s="8">
        <v>40</v>
      </c>
      <c r="E31" s="8">
        <v>10</v>
      </c>
      <c r="F31" s="8" t="s">
        <v>34</v>
      </c>
      <c r="G31" s="7"/>
    </row>
    <row r="32" spans="1:7" ht="15.75" customHeight="1" x14ac:dyDescent="0.25">
      <c r="A32" s="7" t="s">
        <v>102</v>
      </c>
      <c r="B32" s="7" t="s">
        <v>88</v>
      </c>
      <c r="C32" s="7" t="s">
        <v>103</v>
      </c>
      <c r="D32" s="7">
        <v>130</v>
      </c>
      <c r="E32" s="7">
        <v>5</v>
      </c>
      <c r="F32" s="7" t="s">
        <v>26</v>
      </c>
      <c r="G32" s="7"/>
    </row>
    <row r="33" spans="1:7" ht="15.75" customHeight="1" x14ac:dyDescent="0.25">
      <c r="A33" s="8" t="s">
        <v>104</v>
      </c>
      <c r="B33" s="8" t="s">
        <v>105</v>
      </c>
      <c r="C33" s="8" t="s">
        <v>106</v>
      </c>
      <c r="D33" s="8">
        <v>50</v>
      </c>
      <c r="E33" s="8">
        <v>50</v>
      </c>
      <c r="F33" s="8" t="s">
        <v>30</v>
      </c>
      <c r="G33" s="7"/>
    </row>
    <row r="34" spans="1:7" ht="15.75" customHeight="1" x14ac:dyDescent="0.25">
      <c r="A34" s="7" t="s">
        <v>57</v>
      </c>
      <c r="B34" s="7" t="s">
        <v>24</v>
      </c>
      <c r="C34" s="7" t="s">
        <v>58</v>
      </c>
      <c r="D34" s="7">
        <v>950</v>
      </c>
      <c r="E34" s="7">
        <v>25</v>
      </c>
      <c r="F34" s="7" t="s">
        <v>26</v>
      </c>
      <c r="G34" s="7"/>
    </row>
    <row r="35" spans="1:7" ht="15.75" customHeight="1" x14ac:dyDescent="0.25">
      <c r="A35" s="8" t="s">
        <v>107</v>
      </c>
      <c r="B35" s="8" t="s">
        <v>108</v>
      </c>
      <c r="C35" s="8" t="s">
        <v>109</v>
      </c>
      <c r="D35" s="8">
        <v>100</v>
      </c>
      <c r="E35" s="8">
        <v>20</v>
      </c>
      <c r="F35" s="8" t="s">
        <v>70</v>
      </c>
      <c r="G35" s="7"/>
    </row>
    <row r="36" spans="1:7" ht="15.75" customHeight="1" x14ac:dyDescent="0.25"/>
    <row r="37" spans="1:7" ht="15.75" customHeight="1" x14ac:dyDescent="0.25"/>
    <row r="38" spans="1:7" ht="15.75" customHeight="1" x14ac:dyDescent="0.25"/>
    <row r="39" spans="1:7" ht="15.75" customHeight="1" x14ac:dyDescent="0.25"/>
    <row r="40" spans="1:7" ht="15.75" customHeight="1" x14ac:dyDescent="0.25"/>
    <row r="41" spans="1:7" ht="15.75" customHeight="1" x14ac:dyDescent="0.25"/>
    <row r="42" spans="1:7" ht="15.75" customHeight="1" x14ac:dyDescent="0.25"/>
    <row r="43" spans="1:7" ht="15.75" customHeight="1" x14ac:dyDescent="0.25"/>
    <row r="44" spans="1:7" ht="15.75" customHeight="1" x14ac:dyDescent="0.25"/>
    <row r="45" spans="1:7" ht="15.75" customHeight="1" x14ac:dyDescent="0.25"/>
    <row r="46" spans="1:7" ht="15.75" customHeight="1" x14ac:dyDescent="0.25"/>
    <row r="47" spans="1:7" ht="15.75" customHeight="1" x14ac:dyDescent="0.25"/>
    <row r="48" spans="1:7" ht="15.75" customHeight="1" x14ac:dyDescent="0.25"/>
    <row r="49" customFormat="1" ht="15.75" customHeight="1" x14ac:dyDescent="0.25"/>
    <row r="50" customFormat="1" ht="15.75" customHeight="1" x14ac:dyDescent="0.25"/>
    <row r="51" customFormat="1" ht="15.75" customHeight="1" x14ac:dyDescent="0.25"/>
    <row r="52" customFormat="1" ht="15.75" customHeight="1" x14ac:dyDescent="0.25"/>
    <row r="53" customFormat="1" ht="15.75" customHeight="1" x14ac:dyDescent="0.25"/>
    <row r="54" customFormat="1" ht="15.75" customHeight="1" x14ac:dyDescent="0.25"/>
    <row r="55" customFormat="1" ht="15.75" customHeight="1" x14ac:dyDescent="0.25"/>
    <row r="56" customFormat="1" ht="15.75" customHeight="1" x14ac:dyDescent="0.25"/>
    <row r="57" customFormat="1" ht="15.75" customHeight="1" x14ac:dyDescent="0.25"/>
    <row r="58" customFormat="1" ht="15.75" customHeight="1" x14ac:dyDescent="0.25"/>
    <row r="59" customFormat="1" ht="15.75" customHeight="1" x14ac:dyDescent="0.25"/>
    <row r="60" customFormat="1" ht="15.75" customHeight="1" x14ac:dyDescent="0.25"/>
    <row r="61" customFormat="1" ht="15.75" customHeight="1" x14ac:dyDescent="0.25"/>
    <row r="62" customFormat="1" ht="15.75" customHeight="1" x14ac:dyDescent="0.25"/>
    <row r="63" customFormat="1" ht="15.75" customHeight="1" x14ac:dyDescent="0.25"/>
    <row r="64" customFormat="1" ht="15.75" customHeight="1" x14ac:dyDescent="0.25"/>
    <row r="65" customFormat="1" ht="15.75" customHeight="1" x14ac:dyDescent="0.25"/>
    <row r="66" customFormat="1" ht="15.75" customHeight="1" x14ac:dyDescent="0.25"/>
    <row r="67" customFormat="1" ht="15.75" customHeight="1" x14ac:dyDescent="0.25"/>
    <row r="68" customFormat="1" ht="15.75" customHeight="1" x14ac:dyDescent="0.25"/>
    <row r="69" customFormat="1" ht="15.75" customHeight="1" x14ac:dyDescent="0.25"/>
    <row r="70" customFormat="1" ht="15.75" customHeight="1" x14ac:dyDescent="0.25"/>
    <row r="71" customFormat="1" ht="15.75" customHeight="1" x14ac:dyDescent="0.25"/>
    <row r="72" customFormat="1" ht="15.75" customHeight="1" x14ac:dyDescent="0.25"/>
    <row r="73" customFormat="1" ht="15.75" customHeight="1" x14ac:dyDescent="0.25"/>
    <row r="74" customFormat="1" ht="15.75" customHeight="1" x14ac:dyDescent="0.25"/>
    <row r="75" customFormat="1" ht="15.75" customHeight="1" x14ac:dyDescent="0.25"/>
    <row r="76" customFormat="1" ht="15.75" customHeight="1" x14ac:dyDescent="0.25"/>
    <row r="77" customFormat="1" ht="15.75" customHeight="1" x14ac:dyDescent="0.25"/>
    <row r="78" customFormat="1" ht="15.75" customHeight="1" x14ac:dyDescent="0.25"/>
    <row r="79" customFormat="1" ht="15.75" customHeight="1" x14ac:dyDescent="0.25"/>
    <row r="80" customFormat="1" ht="15.75" customHeight="1" x14ac:dyDescent="0.25"/>
    <row r="81" customFormat="1" ht="15.75" customHeight="1" x14ac:dyDescent="0.25"/>
    <row r="82" customFormat="1" ht="15.75" customHeight="1" x14ac:dyDescent="0.25"/>
    <row r="83" customFormat="1" ht="15.75" customHeight="1" x14ac:dyDescent="0.25"/>
    <row r="84" customFormat="1" ht="15.75" customHeight="1" x14ac:dyDescent="0.25"/>
    <row r="85" customFormat="1" ht="15.75" customHeight="1" x14ac:dyDescent="0.25"/>
    <row r="86" customFormat="1" ht="15.75" customHeight="1" x14ac:dyDescent="0.25"/>
    <row r="87" customFormat="1" ht="15.75" customHeight="1" x14ac:dyDescent="0.25"/>
    <row r="88" customFormat="1" ht="15.75" customHeight="1" x14ac:dyDescent="0.25"/>
    <row r="89" customFormat="1" ht="15.75" customHeight="1" x14ac:dyDescent="0.25"/>
    <row r="90" customFormat="1" ht="15.75" customHeight="1" x14ac:dyDescent="0.25"/>
    <row r="91" customFormat="1" ht="15.75" customHeight="1" x14ac:dyDescent="0.25"/>
    <row r="92" customFormat="1" ht="15.75" customHeight="1" x14ac:dyDescent="0.25"/>
    <row r="93" customFormat="1" ht="15.75" customHeight="1" x14ac:dyDescent="0.25"/>
    <row r="94" customFormat="1" ht="15.75" customHeight="1" x14ac:dyDescent="0.25"/>
    <row r="95" customFormat="1" ht="15.75" customHeight="1" x14ac:dyDescent="0.25"/>
    <row r="96" customFormat="1" ht="15.75" customHeight="1" x14ac:dyDescent="0.25"/>
    <row r="97" customFormat="1" ht="15.75" customHeight="1" x14ac:dyDescent="0.25"/>
    <row r="98" customFormat="1" ht="15.75" customHeight="1" x14ac:dyDescent="0.25"/>
    <row r="99" customFormat="1" ht="15.75" customHeight="1" x14ac:dyDescent="0.25"/>
    <row r="100" customFormat="1" ht="15.75" customHeight="1" x14ac:dyDescent="0.25"/>
    <row r="101" customFormat="1" ht="15.75" customHeight="1" x14ac:dyDescent="0.25"/>
    <row r="102" customFormat="1" ht="15.75" customHeight="1" x14ac:dyDescent="0.25"/>
    <row r="103" customFormat="1" ht="15.75" customHeight="1" x14ac:dyDescent="0.25"/>
    <row r="104" customFormat="1" ht="15.75" customHeight="1" x14ac:dyDescent="0.25"/>
    <row r="105" customFormat="1" ht="15.75" customHeight="1" x14ac:dyDescent="0.25"/>
    <row r="106" customFormat="1" ht="15.75" customHeight="1" x14ac:dyDescent="0.25"/>
    <row r="107" customFormat="1" ht="15.75" customHeight="1" x14ac:dyDescent="0.25"/>
    <row r="108" customFormat="1" ht="15.75" customHeight="1" x14ac:dyDescent="0.25"/>
    <row r="109" customFormat="1" ht="15.75" customHeight="1" x14ac:dyDescent="0.25"/>
    <row r="110" customFormat="1" ht="15.75" customHeight="1" x14ac:dyDescent="0.25"/>
    <row r="111" customFormat="1" ht="15.75" customHeight="1" x14ac:dyDescent="0.25"/>
    <row r="112" customFormat="1" ht="15.75" customHeight="1" x14ac:dyDescent="0.25"/>
    <row r="113" customFormat="1" ht="15.75" customHeight="1" x14ac:dyDescent="0.25"/>
    <row r="114" customFormat="1" ht="15.75" customHeight="1" x14ac:dyDescent="0.25"/>
    <row r="115" customFormat="1" ht="15.75" customHeight="1" x14ac:dyDescent="0.25"/>
    <row r="116" customFormat="1" ht="15.75" customHeight="1" x14ac:dyDescent="0.25"/>
    <row r="117" customFormat="1" ht="15.75" customHeight="1" x14ac:dyDescent="0.25"/>
    <row r="118" customFormat="1" ht="15.75" customHeight="1" x14ac:dyDescent="0.25"/>
    <row r="119" customFormat="1" ht="15.75" customHeight="1" x14ac:dyDescent="0.25"/>
    <row r="120" customFormat="1" ht="15.75" customHeight="1" x14ac:dyDescent="0.25"/>
    <row r="121" customFormat="1" ht="15.75" customHeight="1" x14ac:dyDescent="0.25"/>
    <row r="122" customFormat="1" ht="15.75" customHeight="1" x14ac:dyDescent="0.25"/>
    <row r="123" customFormat="1" ht="15.75" customHeight="1" x14ac:dyDescent="0.25"/>
    <row r="124" customFormat="1" ht="15.75" customHeight="1" x14ac:dyDescent="0.25"/>
    <row r="125" customFormat="1" ht="15.75" customHeight="1" x14ac:dyDescent="0.25"/>
    <row r="126" customFormat="1" ht="15.75" customHeight="1" x14ac:dyDescent="0.25"/>
    <row r="127" customFormat="1" ht="15.75" customHeight="1" x14ac:dyDescent="0.25"/>
    <row r="128" customFormat="1" ht="15.75" customHeight="1" x14ac:dyDescent="0.25"/>
    <row r="129" customFormat="1" ht="15.75" customHeight="1" x14ac:dyDescent="0.25"/>
    <row r="130" customFormat="1" ht="15.75" customHeight="1" x14ac:dyDescent="0.25"/>
    <row r="131" customFormat="1" ht="15.75" customHeight="1" x14ac:dyDescent="0.25"/>
    <row r="132" customFormat="1" ht="15.75" customHeight="1" x14ac:dyDescent="0.25"/>
    <row r="133" customFormat="1" ht="15.75" customHeight="1" x14ac:dyDescent="0.25"/>
    <row r="134" customFormat="1" ht="15.75" customHeight="1" x14ac:dyDescent="0.25"/>
    <row r="135" customFormat="1" ht="15.75" customHeight="1" x14ac:dyDescent="0.25"/>
    <row r="136" customFormat="1" ht="15.75" customHeight="1" x14ac:dyDescent="0.25"/>
    <row r="137" customFormat="1" ht="15.75" customHeight="1" x14ac:dyDescent="0.25"/>
    <row r="138" customFormat="1" ht="15.75" customHeight="1" x14ac:dyDescent="0.25"/>
    <row r="139" customFormat="1" ht="15.75" customHeight="1" x14ac:dyDescent="0.25"/>
    <row r="140" customFormat="1" ht="15.75" customHeight="1" x14ac:dyDescent="0.25"/>
    <row r="141" customFormat="1" ht="15.75" customHeight="1" x14ac:dyDescent="0.25"/>
    <row r="142" customFormat="1" ht="15.75" customHeight="1" x14ac:dyDescent="0.25"/>
    <row r="143" customFormat="1" ht="15.75" customHeight="1" x14ac:dyDescent="0.25"/>
    <row r="144" customFormat="1" ht="15.75" customHeight="1" x14ac:dyDescent="0.25"/>
    <row r="145" customFormat="1" ht="15.75" customHeight="1" x14ac:dyDescent="0.25"/>
    <row r="146" customFormat="1" ht="15.75" customHeight="1" x14ac:dyDescent="0.25"/>
    <row r="147" customFormat="1" ht="15.75" customHeight="1" x14ac:dyDescent="0.25"/>
    <row r="148" customFormat="1" ht="15.75" customHeight="1" x14ac:dyDescent="0.25"/>
    <row r="149" customFormat="1" ht="15.75" customHeight="1" x14ac:dyDescent="0.25"/>
    <row r="150" customFormat="1" ht="15.75" customHeight="1" x14ac:dyDescent="0.25"/>
    <row r="151" customFormat="1" ht="15.75" customHeight="1" x14ac:dyDescent="0.25"/>
    <row r="152" customFormat="1" ht="15.75" customHeight="1" x14ac:dyDescent="0.25"/>
    <row r="153" customFormat="1" ht="15.75" customHeight="1" x14ac:dyDescent="0.25"/>
    <row r="154" customFormat="1" ht="15.75" customHeight="1" x14ac:dyDescent="0.25"/>
    <row r="155" customFormat="1" ht="15.75" customHeight="1" x14ac:dyDescent="0.25"/>
    <row r="156" customFormat="1" ht="15.75" customHeight="1" x14ac:dyDescent="0.25"/>
    <row r="157" customFormat="1" ht="15.75" customHeight="1" x14ac:dyDescent="0.25"/>
    <row r="158" customFormat="1" ht="15.75" customHeight="1" x14ac:dyDescent="0.25"/>
    <row r="159" customFormat="1" ht="15.75" customHeight="1" x14ac:dyDescent="0.25"/>
    <row r="160" customFormat="1" ht="15.75" customHeight="1" x14ac:dyDescent="0.25"/>
    <row r="161" customFormat="1" ht="15.75" customHeight="1" x14ac:dyDescent="0.25"/>
    <row r="162" customFormat="1" ht="15.75" customHeight="1" x14ac:dyDescent="0.25"/>
    <row r="163" customFormat="1" ht="15.75" customHeight="1" x14ac:dyDescent="0.25"/>
    <row r="164" customFormat="1" ht="15.75" customHeight="1" x14ac:dyDescent="0.25"/>
    <row r="165" customFormat="1" ht="15.75" customHeight="1" x14ac:dyDescent="0.25"/>
    <row r="166" customFormat="1" ht="15.75" customHeight="1" x14ac:dyDescent="0.25"/>
    <row r="167" customFormat="1" ht="15.75" customHeight="1" x14ac:dyDescent="0.25"/>
    <row r="168" customFormat="1" ht="15.75" customHeight="1" x14ac:dyDescent="0.25"/>
    <row r="169" customFormat="1" ht="15.75" customHeight="1" x14ac:dyDescent="0.25"/>
    <row r="170" customFormat="1" ht="15.75" customHeight="1" x14ac:dyDescent="0.25"/>
    <row r="171" customFormat="1" ht="15.75" customHeight="1" x14ac:dyDescent="0.25"/>
    <row r="172" customFormat="1" ht="15.75" customHeight="1" x14ac:dyDescent="0.25"/>
    <row r="173" customFormat="1" ht="15.75" customHeight="1" x14ac:dyDescent="0.25"/>
    <row r="174" customFormat="1" ht="15.75" customHeight="1" x14ac:dyDescent="0.25"/>
    <row r="175" customFormat="1" ht="15.75" customHeight="1" x14ac:dyDescent="0.25"/>
    <row r="176" customFormat="1" ht="15.75" customHeight="1" x14ac:dyDescent="0.25"/>
    <row r="177" customFormat="1" ht="15.75" customHeight="1" x14ac:dyDescent="0.25"/>
    <row r="178" customFormat="1" ht="15.75" customHeight="1" x14ac:dyDescent="0.25"/>
    <row r="179" customFormat="1" ht="15.75" customHeight="1" x14ac:dyDescent="0.25"/>
    <row r="180" customFormat="1" ht="15.75" customHeight="1" x14ac:dyDescent="0.25"/>
    <row r="181" customFormat="1" ht="15.75" customHeight="1" x14ac:dyDescent="0.25"/>
    <row r="182" customFormat="1" ht="15.75" customHeight="1" x14ac:dyDescent="0.25"/>
    <row r="183" customFormat="1" ht="15.75" customHeight="1" x14ac:dyDescent="0.25"/>
    <row r="184" customFormat="1" ht="15.75" customHeight="1" x14ac:dyDescent="0.25"/>
    <row r="185" customFormat="1" ht="15.75" customHeight="1" x14ac:dyDescent="0.25"/>
    <row r="186" customFormat="1" ht="15.75" customHeight="1" x14ac:dyDescent="0.25"/>
    <row r="187" customFormat="1" ht="15.75" customHeight="1" x14ac:dyDescent="0.25"/>
    <row r="188" customFormat="1" ht="15.75" customHeight="1" x14ac:dyDescent="0.25"/>
    <row r="189" customFormat="1" ht="15.75" customHeight="1" x14ac:dyDescent="0.25"/>
    <row r="190" customFormat="1" ht="15.75" customHeight="1" x14ac:dyDescent="0.25"/>
    <row r="191" customFormat="1" ht="15.75" customHeight="1" x14ac:dyDescent="0.25"/>
    <row r="192" customFormat="1" ht="15.75" customHeight="1" x14ac:dyDescent="0.25"/>
    <row r="193" customFormat="1" ht="15.75" customHeight="1" x14ac:dyDescent="0.25"/>
    <row r="194" customFormat="1" ht="15.75" customHeight="1" x14ac:dyDescent="0.25"/>
    <row r="195" customFormat="1" ht="15.75" customHeight="1" x14ac:dyDescent="0.25"/>
    <row r="196" customFormat="1" ht="15.75" customHeight="1" x14ac:dyDescent="0.25"/>
    <row r="197" customFormat="1" ht="15.75" customHeight="1" x14ac:dyDescent="0.25"/>
    <row r="198" customFormat="1" ht="15.75" customHeight="1" x14ac:dyDescent="0.25"/>
    <row r="199" customFormat="1" ht="15.75" customHeight="1" x14ac:dyDescent="0.25"/>
    <row r="200" customFormat="1" ht="15.75" customHeight="1" x14ac:dyDescent="0.25"/>
    <row r="201" customFormat="1" ht="15.75" customHeight="1" x14ac:dyDescent="0.25"/>
    <row r="202" customFormat="1" ht="15.75" customHeight="1" x14ac:dyDescent="0.25"/>
    <row r="203" customFormat="1" ht="15.75" customHeight="1" x14ac:dyDescent="0.25"/>
    <row r="204" customFormat="1" ht="15.75" customHeight="1" x14ac:dyDescent="0.25"/>
    <row r="205" customFormat="1" ht="15.75" customHeight="1" x14ac:dyDescent="0.25"/>
    <row r="206" customFormat="1" ht="15.75" customHeight="1" x14ac:dyDescent="0.25"/>
    <row r="207" customFormat="1" ht="15.75" customHeight="1" x14ac:dyDescent="0.25"/>
    <row r="208" customFormat="1" ht="15.75" customHeight="1" x14ac:dyDescent="0.25"/>
    <row r="209" customFormat="1" ht="15.75" customHeight="1" x14ac:dyDescent="0.25"/>
    <row r="210" customFormat="1" ht="15.75" customHeight="1" x14ac:dyDescent="0.25"/>
    <row r="211" customFormat="1" ht="15.75" customHeight="1" x14ac:dyDescent="0.25"/>
    <row r="212" customFormat="1" ht="15.75" customHeight="1" x14ac:dyDescent="0.25"/>
    <row r="213" customFormat="1" ht="15.75" customHeight="1" x14ac:dyDescent="0.25"/>
    <row r="214" customFormat="1" ht="15.75" customHeight="1" x14ac:dyDescent="0.25"/>
    <row r="215" customFormat="1" ht="15.75" customHeight="1" x14ac:dyDescent="0.25"/>
    <row r="216" customFormat="1" ht="15.75" customHeight="1" x14ac:dyDescent="0.25"/>
    <row r="217" customFormat="1" ht="15.75" customHeight="1" x14ac:dyDescent="0.25"/>
    <row r="218" customFormat="1" ht="15.75" customHeight="1" x14ac:dyDescent="0.25"/>
    <row r="219" customFormat="1" ht="15.75" customHeight="1" x14ac:dyDescent="0.25"/>
    <row r="220" customFormat="1" ht="15.75" customHeight="1" x14ac:dyDescent="0.25"/>
    <row r="221" customFormat="1" ht="15.75" customHeight="1" x14ac:dyDescent="0.25"/>
    <row r="222" customFormat="1" ht="15.75" customHeight="1" x14ac:dyDescent="0.25"/>
    <row r="223" customFormat="1" ht="15.75" customHeight="1" x14ac:dyDescent="0.25"/>
    <row r="224" customFormat="1" ht="15.75" customHeight="1" x14ac:dyDescent="0.25"/>
    <row r="225" customFormat="1" ht="15.75" customHeight="1" x14ac:dyDescent="0.25"/>
    <row r="226" customFormat="1" ht="15.75" customHeight="1" x14ac:dyDescent="0.25"/>
    <row r="227" customFormat="1" ht="15.75" customHeight="1" x14ac:dyDescent="0.25"/>
    <row r="228" customFormat="1" ht="15.75" customHeight="1" x14ac:dyDescent="0.25"/>
    <row r="229" customFormat="1" ht="15.75" customHeight="1" x14ac:dyDescent="0.25"/>
    <row r="230" customFormat="1" ht="15.75" customHeight="1" x14ac:dyDescent="0.25"/>
    <row r="231" customFormat="1" ht="15.75" customHeight="1" x14ac:dyDescent="0.25"/>
    <row r="232" customFormat="1" ht="15.75" customHeight="1" x14ac:dyDescent="0.25"/>
    <row r="233" customFormat="1" ht="15.75" customHeight="1" x14ac:dyDescent="0.25"/>
    <row r="234" customFormat="1" ht="15.75" customHeight="1" x14ac:dyDescent="0.25"/>
    <row r="235" customFormat="1" ht="15.75" customHeight="1" x14ac:dyDescent="0.25"/>
    <row r="236" customFormat="1" ht="15.75" customHeight="1" x14ac:dyDescent="0.25"/>
    <row r="237" customFormat="1" ht="15.75" customHeight="1" x14ac:dyDescent="0.25"/>
    <row r="238" customFormat="1" ht="15.75" customHeight="1" x14ac:dyDescent="0.25"/>
    <row r="239" customFormat="1" ht="15.75" customHeight="1" x14ac:dyDescent="0.25"/>
    <row r="240" customFormat="1" ht="15.75" customHeight="1" x14ac:dyDescent="0.25"/>
    <row r="241" customFormat="1" ht="15.75" customHeight="1" x14ac:dyDescent="0.25"/>
    <row r="242" customFormat="1" ht="15.75" customHeight="1" x14ac:dyDescent="0.25"/>
    <row r="243" customFormat="1" ht="15.75" customHeight="1" x14ac:dyDescent="0.25"/>
    <row r="244" customFormat="1" ht="15.75" customHeight="1" x14ac:dyDescent="0.25"/>
    <row r="245" customFormat="1" ht="15.75" customHeight="1" x14ac:dyDescent="0.25"/>
    <row r="246" customFormat="1" ht="15.75" customHeight="1" x14ac:dyDescent="0.25"/>
    <row r="247" customFormat="1" ht="15.75" customHeight="1" x14ac:dyDescent="0.25"/>
    <row r="248" customFormat="1" ht="15.75" customHeight="1" x14ac:dyDescent="0.25"/>
    <row r="249" customFormat="1" ht="15.75" customHeight="1" x14ac:dyDescent="0.25"/>
    <row r="250" customFormat="1" ht="15.75" customHeight="1" x14ac:dyDescent="0.25"/>
    <row r="251" customFormat="1" ht="15.75" customHeight="1" x14ac:dyDescent="0.25"/>
    <row r="252" customFormat="1" ht="15.75" customHeight="1" x14ac:dyDescent="0.25"/>
    <row r="253" customFormat="1" ht="15.75" customHeight="1" x14ac:dyDescent="0.25"/>
    <row r="254" customFormat="1" ht="15.75" customHeight="1" x14ac:dyDescent="0.25"/>
    <row r="255" customFormat="1" ht="15.75" customHeight="1" x14ac:dyDescent="0.25"/>
    <row r="256" customFormat="1" ht="15.75" customHeight="1" x14ac:dyDescent="0.25"/>
    <row r="257" customFormat="1" ht="15.75" customHeight="1" x14ac:dyDescent="0.25"/>
    <row r="258" customFormat="1" ht="15.75" customHeight="1" x14ac:dyDescent="0.25"/>
    <row r="259" customFormat="1" ht="15.75" customHeight="1" x14ac:dyDescent="0.25"/>
    <row r="260" customFormat="1" ht="15.75" customHeight="1" x14ac:dyDescent="0.25"/>
    <row r="261" customFormat="1" ht="15.75" customHeight="1" x14ac:dyDescent="0.25"/>
    <row r="262" customFormat="1" ht="15.75" customHeight="1" x14ac:dyDescent="0.25"/>
    <row r="263" customFormat="1" ht="15.75" customHeight="1" x14ac:dyDescent="0.25"/>
    <row r="264" customFormat="1" ht="15.75" customHeight="1" x14ac:dyDescent="0.25"/>
    <row r="265" customFormat="1" ht="15.75" customHeight="1" x14ac:dyDescent="0.25"/>
    <row r="266" customFormat="1" ht="15.75" customHeight="1" x14ac:dyDescent="0.25"/>
    <row r="267" customFormat="1" ht="15.75" customHeight="1" x14ac:dyDescent="0.25"/>
    <row r="268" customFormat="1" ht="15.75" customHeight="1" x14ac:dyDescent="0.25"/>
    <row r="269" customFormat="1" ht="15.75" customHeight="1" x14ac:dyDescent="0.25"/>
    <row r="270" customFormat="1" ht="15.75" customHeight="1" x14ac:dyDescent="0.25"/>
    <row r="271" customFormat="1" ht="15.75" customHeight="1" x14ac:dyDescent="0.25"/>
    <row r="272" customFormat="1" ht="15.75" customHeight="1" x14ac:dyDescent="0.25"/>
    <row r="273" customFormat="1" ht="15.75" customHeight="1" x14ac:dyDescent="0.25"/>
    <row r="274" customFormat="1" ht="15.75" customHeight="1" x14ac:dyDescent="0.25"/>
    <row r="275" customFormat="1" ht="15.75" customHeight="1" x14ac:dyDescent="0.25"/>
    <row r="276" customFormat="1" ht="15.75" customHeight="1" x14ac:dyDescent="0.25"/>
    <row r="277" customFormat="1" ht="15.75" customHeight="1" x14ac:dyDescent="0.25"/>
    <row r="278" customFormat="1" ht="15.75" customHeight="1" x14ac:dyDescent="0.25"/>
    <row r="279" customFormat="1" ht="15.75" customHeight="1" x14ac:dyDescent="0.25"/>
    <row r="280" customFormat="1" ht="15.75" customHeight="1" x14ac:dyDescent="0.25"/>
    <row r="281" customFormat="1" ht="15.75" customHeight="1" x14ac:dyDescent="0.25"/>
    <row r="282" customFormat="1" ht="15.75" customHeight="1" x14ac:dyDescent="0.25"/>
    <row r="283" customFormat="1" ht="15.75" customHeight="1" x14ac:dyDescent="0.25"/>
    <row r="284" customFormat="1" ht="15.75" customHeight="1" x14ac:dyDescent="0.25"/>
    <row r="285" customFormat="1" ht="15.75" customHeight="1" x14ac:dyDescent="0.25"/>
    <row r="286" customFormat="1" ht="15.75" customHeight="1" x14ac:dyDescent="0.25"/>
    <row r="287" customFormat="1" ht="15.75" customHeight="1" x14ac:dyDescent="0.25"/>
    <row r="288" customFormat="1" ht="15.75" customHeight="1" x14ac:dyDescent="0.25"/>
    <row r="289" customFormat="1" ht="15.75" customHeight="1" x14ac:dyDescent="0.25"/>
    <row r="290" customFormat="1" ht="15.75" customHeight="1" x14ac:dyDescent="0.25"/>
    <row r="291" customFormat="1" ht="15.75" customHeight="1" x14ac:dyDescent="0.25"/>
    <row r="292" customFormat="1" ht="15.75" customHeight="1" x14ac:dyDescent="0.25"/>
    <row r="293" customFormat="1" ht="15.75" customHeight="1" x14ac:dyDescent="0.25"/>
    <row r="294" customFormat="1" ht="15.75" customHeight="1" x14ac:dyDescent="0.25"/>
    <row r="295" customFormat="1" ht="15.75" customHeight="1" x14ac:dyDescent="0.25"/>
    <row r="296" customFormat="1" ht="15.75" customHeight="1" x14ac:dyDescent="0.25"/>
    <row r="297" customFormat="1" ht="15.75" customHeight="1" x14ac:dyDescent="0.25"/>
    <row r="298" customFormat="1" ht="15.75" customHeight="1" x14ac:dyDescent="0.25"/>
    <row r="299" customFormat="1" ht="15.75" customHeight="1" x14ac:dyDescent="0.25"/>
    <row r="300" customFormat="1" ht="15.75" customHeight="1" x14ac:dyDescent="0.25"/>
    <row r="301" customFormat="1" ht="15.75" customHeight="1" x14ac:dyDescent="0.25"/>
    <row r="302" customFormat="1" ht="15.75" customHeight="1" x14ac:dyDescent="0.25"/>
    <row r="303" customFormat="1" ht="15.75" customHeight="1" x14ac:dyDescent="0.25"/>
    <row r="304" customFormat="1" ht="15.75" customHeight="1" x14ac:dyDescent="0.25"/>
    <row r="305" customFormat="1" ht="15.75" customHeight="1" x14ac:dyDescent="0.25"/>
    <row r="306" customFormat="1" ht="15.75" customHeight="1" x14ac:dyDescent="0.25"/>
    <row r="307" customFormat="1" ht="15.75" customHeight="1" x14ac:dyDescent="0.25"/>
    <row r="308" customFormat="1" ht="15.75" customHeight="1" x14ac:dyDescent="0.25"/>
    <row r="309" customFormat="1" ht="15.75" customHeight="1" x14ac:dyDescent="0.25"/>
    <row r="310" customFormat="1" ht="15.75" customHeight="1" x14ac:dyDescent="0.25"/>
    <row r="311" customFormat="1" ht="15.75" customHeight="1" x14ac:dyDescent="0.25"/>
    <row r="312" customFormat="1" ht="15.75" customHeight="1" x14ac:dyDescent="0.25"/>
    <row r="313" customFormat="1" ht="15.75" customHeight="1" x14ac:dyDescent="0.25"/>
    <row r="314" customFormat="1" ht="15.75" customHeight="1" x14ac:dyDescent="0.25"/>
    <row r="315" customFormat="1" ht="15.75" customHeight="1" x14ac:dyDescent="0.25"/>
    <row r="316" customFormat="1" ht="15.75" customHeight="1" x14ac:dyDescent="0.25"/>
    <row r="317" customFormat="1" ht="15.75" customHeight="1" x14ac:dyDescent="0.25"/>
    <row r="318" customFormat="1" ht="15.75" customHeight="1" x14ac:dyDescent="0.25"/>
    <row r="319" customFormat="1" ht="15.75" customHeight="1" x14ac:dyDescent="0.25"/>
    <row r="320" customFormat="1" ht="15.75" customHeight="1" x14ac:dyDescent="0.25"/>
    <row r="321" customFormat="1" ht="15.75" customHeight="1" x14ac:dyDescent="0.25"/>
    <row r="322" customFormat="1" ht="15.75" customHeight="1" x14ac:dyDescent="0.25"/>
    <row r="323" customFormat="1" ht="15.75" customHeight="1" x14ac:dyDescent="0.25"/>
    <row r="324" customFormat="1" ht="15.75" customHeight="1" x14ac:dyDescent="0.25"/>
    <row r="325" customFormat="1" ht="15.75" customHeight="1" x14ac:dyDescent="0.25"/>
    <row r="326" customFormat="1" ht="15.75" customHeight="1" x14ac:dyDescent="0.25"/>
    <row r="327" customFormat="1" ht="15.75" customHeight="1" x14ac:dyDescent="0.25"/>
    <row r="328" customFormat="1" ht="15.75" customHeight="1" x14ac:dyDescent="0.25"/>
    <row r="329" customFormat="1" ht="15.75" customHeight="1" x14ac:dyDescent="0.25"/>
    <row r="330" customFormat="1" ht="15.75" customHeight="1" x14ac:dyDescent="0.25"/>
    <row r="331" customFormat="1" ht="15.75" customHeight="1" x14ac:dyDescent="0.25"/>
    <row r="332" customFormat="1" ht="15.75" customHeight="1" x14ac:dyDescent="0.25"/>
    <row r="333" customFormat="1" ht="15.75" customHeight="1" x14ac:dyDescent="0.25"/>
    <row r="334" customFormat="1" ht="15.75" customHeight="1" x14ac:dyDescent="0.25"/>
    <row r="335" customFormat="1" ht="15.75" customHeight="1" x14ac:dyDescent="0.25"/>
    <row r="336" customFormat="1" ht="15.75" customHeight="1" x14ac:dyDescent="0.25"/>
    <row r="337" customFormat="1" ht="15.75" customHeight="1" x14ac:dyDescent="0.25"/>
    <row r="338" customFormat="1" ht="15.75" customHeight="1" x14ac:dyDescent="0.25"/>
    <row r="339" customFormat="1" ht="15.75" customHeight="1" x14ac:dyDescent="0.25"/>
    <row r="340" customFormat="1" ht="15.75" customHeight="1" x14ac:dyDescent="0.25"/>
    <row r="341" customFormat="1" ht="15.75" customHeight="1" x14ac:dyDescent="0.25"/>
    <row r="342" customFormat="1" ht="15.75" customHeight="1" x14ac:dyDescent="0.25"/>
    <row r="343" customFormat="1" ht="15.75" customHeight="1" x14ac:dyDescent="0.25"/>
    <row r="344" customFormat="1" ht="15.75" customHeight="1" x14ac:dyDescent="0.25"/>
    <row r="345" customFormat="1" ht="15.75" customHeight="1" x14ac:dyDescent="0.25"/>
    <row r="346" customFormat="1" ht="15.75" customHeight="1" x14ac:dyDescent="0.25"/>
    <row r="347" customFormat="1" ht="15.75" customHeight="1" x14ac:dyDescent="0.25"/>
    <row r="348" customFormat="1" ht="15.75" customHeight="1" x14ac:dyDescent="0.25"/>
    <row r="349" customFormat="1" ht="15.75" customHeight="1" x14ac:dyDescent="0.25"/>
    <row r="350" customFormat="1" ht="15.75" customHeight="1" x14ac:dyDescent="0.25"/>
    <row r="351" customFormat="1" ht="15.75" customHeight="1" x14ac:dyDescent="0.25"/>
    <row r="352" customFormat="1" ht="15.75" customHeight="1" x14ac:dyDescent="0.25"/>
    <row r="353" customFormat="1" ht="15.75" customHeight="1" x14ac:dyDescent="0.25"/>
    <row r="354" customFormat="1" ht="15.75" customHeight="1" x14ac:dyDescent="0.25"/>
    <row r="355" customFormat="1" ht="15.75" customHeight="1" x14ac:dyDescent="0.25"/>
    <row r="356" customFormat="1" ht="15.75" customHeight="1" x14ac:dyDescent="0.25"/>
    <row r="357" customFormat="1" ht="15.75" customHeight="1" x14ac:dyDescent="0.25"/>
    <row r="358" customFormat="1" ht="15.75" customHeight="1" x14ac:dyDescent="0.25"/>
    <row r="359" customFormat="1" ht="15.75" customHeight="1" x14ac:dyDescent="0.25"/>
    <row r="360" customFormat="1" ht="15.75" customHeight="1" x14ac:dyDescent="0.25"/>
    <row r="361" customFormat="1" ht="15.75" customHeight="1" x14ac:dyDescent="0.25"/>
    <row r="362" customFormat="1" ht="15.75" customHeight="1" x14ac:dyDescent="0.25"/>
    <row r="363" customFormat="1" ht="15.75" customHeight="1" x14ac:dyDescent="0.25"/>
    <row r="364" customFormat="1" ht="15.75" customHeight="1" x14ac:dyDescent="0.25"/>
    <row r="365" customFormat="1" ht="15.75" customHeight="1" x14ac:dyDescent="0.25"/>
    <row r="366" customFormat="1" ht="15.75" customHeight="1" x14ac:dyDescent="0.25"/>
    <row r="367" customFormat="1" ht="15.75" customHeight="1" x14ac:dyDescent="0.25"/>
    <row r="368" customFormat="1" ht="15.75" customHeight="1" x14ac:dyDescent="0.25"/>
    <row r="369" customFormat="1" ht="15.75" customHeight="1" x14ac:dyDescent="0.25"/>
    <row r="370" customFormat="1" ht="15.75" customHeight="1" x14ac:dyDescent="0.25"/>
    <row r="371" customFormat="1" ht="15.75" customHeight="1" x14ac:dyDescent="0.25"/>
    <row r="372" customFormat="1" ht="15.75" customHeight="1" x14ac:dyDescent="0.25"/>
    <row r="373" customFormat="1" ht="15.75" customHeight="1" x14ac:dyDescent="0.25"/>
    <row r="374" customFormat="1" ht="15.75" customHeight="1" x14ac:dyDescent="0.25"/>
    <row r="375" customFormat="1" ht="15.75" customHeight="1" x14ac:dyDescent="0.25"/>
    <row r="376" customFormat="1" ht="15.75" customHeight="1" x14ac:dyDescent="0.25"/>
    <row r="377" customFormat="1" ht="15.75" customHeight="1" x14ac:dyDescent="0.25"/>
    <row r="378" customFormat="1" ht="15.75" customHeight="1" x14ac:dyDescent="0.25"/>
    <row r="379" customFormat="1" ht="15.75" customHeight="1" x14ac:dyDescent="0.25"/>
    <row r="380" customFormat="1" ht="15.75" customHeight="1" x14ac:dyDescent="0.25"/>
    <row r="381" customFormat="1" ht="15.75" customHeight="1" x14ac:dyDescent="0.25"/>
    <row r="382" customFormat="1" ht="15.75" customHeight="1" x14ac:dyDescent="0.25"/>
    <row r="383" customFormat="1" ht="15.75" customHeight="1" x14ac:dyDescent="0.25"/>
    <row r="384" customFormat="1" ht="15.75" customHeight="1" x14ac:dyDescent="0.25"/>
    <row r="385" customFormat="1" ht="15.75" customHeight="1" x14ac:dyDescent="0.25"/>
    <row r="386" customFormat="1" ht="15.75" customHeight="1" x14ac:dyDescent="0.25"/>
    <row r="387" customFormat="1" ht="15.75" customHeight="1" x14ac:dyDescent="0.25"/>
    <row r="388" customFormat="1" ht="15.75" customHeight="1" x14ac:dyDescent="0.25"/>
    <row r="389" customFormat="1" ht="15.75" customHeight="1" x14ac:dyDescent="0.25"/>
    <row r="390" customFormat="1" ht="15.75" customHeight="1" x14ac:dyDescent="0.25"/>
    <row r="391" customFormat="1" ht="15.75" customHeight="1" x14ac:dyDescent="0.25"/>
    <row r="392" customFormat="1" ht="15.75" customHeight="1" x14ac:dyDescent="0.25"/>
    <row r="393" customFormat="1" ht="15.75" customHeight="1" x14ac:dyDescent="0.25"/>
    <row r="394" customFormat="1" ht="15.75" customHeight="1" x14ac:dyDescent="0.25"/>
    <row r="395" customFormat="1" ht="15.75" customHeight="1" x14ac:dyDescent="0.25"/>
    <row r="396" customFormat="1" ht="15.75" customHeight="1" x14ac:dyDescent="0.25"/>
    <row r="397" customFormat="1" ht="15.75" customHeight="1" x14ac:dyDescent="0.25"/>
    <row r="398" customFormat="1" ht="15.75" customHeight="1" x14ac:dyDescent="0.25"/>
    <row r="399" customFormat="1" ht="15.75" customHeight="1" x14ac:dyDescent="0.25"/>
    <row r="400" customFormat="1" ht="15.75" customHeight="1" x14ac:dyDescent="0.25"/>
    <row r="401" customFormat="1" ht="15.75" customHeight="1" x14ac:dyDescent="0.25"/>
    <row r="402" customFormat="1" ht="15.75" customHeight="1" x14ac:dyDescent="0.25"/>
    <row r="403" customFormat="1" ht="15.75" customHeight="1" x14ac:dyDescent="0.25"/>
    <row r="404" customFormat="1" ht="15.75" customHeight="1" x14ac:dyDescent="0.25"/>
    <row r="405" customFormat="1" ht="15.75" customHeight="1" x14ac:dyDescent="0.25"/>
    <row r="406" customFormat="1" ht="15.75" customHeight="1" x14ac:dyDescent="0.25"/>
    <row r="407" customFormat="1" ht="15.75" customHeight="1" x14ac:dyDescent="0.25"/>
    <row r="408" customFormat="1" ht="15.75" customHeight="1" x14ac:dyDescent="0.25"/>
    <row r="409" customFormat="1" ht="15.75" customHeight="1" x14ac:dyDescent="0.25"/>
    <row r="410" customFormat="1" ht="15.75" customHeight="1" x14ac:dyDescent="0.25"/>
    <row r="411" customFormat="1" ht="15.75" customHeight="1" x14ac:dyDescent="0.25"/>
    <row r="412" customFormat="1" ht="15.75" customHeight="1" x14ac:dyDescent="0.25"/>
    <row r="413" customFormat="1" ht="15.75" customHeight="1" x14ac:dyDescent="0.25"/>
    <row r="414" customFormat="1" ht="15.75" customHeight="1" x14ac:dyDescent="0.25"/>
    <row r="415" customFormat="1" ht="15.75" customHeight="1" x14ac:dyDescent="0.25"/>
    <row r="416" customFormat="1" ht="15.75" customHeight="1" x14ac:dyDescent="0.25"/>
    <row r="417" customFormat="1" ht="15.75" customHeight="1" x14ac:dyDescent="0.25"/>
    <row r="418" customFormat="1" ht="15.75" customHeight="1" x14ac:dyDescent="0.25"/>
    <row r="419" customFormat="1" ht="15.75" customHeight="1" x14ac:dyDescent="0.25"/>
    <row r="420" customFormat="1" ht="15.75" customHeight="1" x14ac:dyDescent="0.25"/>
    <row r="421" customFormat="1" ht="15.75" customHeight="1" x14ac:dyDescent="0.25"/>
    <row r="422" customFormat="1" ht="15.75" customHeight="1" x14ac:dyDescent="0.25"/>
    <row r="423" customFormat="1" ht="15.75" customHeight="1" x14ac:dyDescent="0.25"/>
    <row r="424" customFormat="1" ht="15.75" customHeight="1" x14ac:dyDescent="0.25"/>
    <row r="425" customFormat="1" ht="15.75" customHeight="1" x14ac:dyDescent="0.25"/>
    <row r="426" customFormat="1" ht="15.75" customHeight="1" x14ac:dyDescent="0.25"/>
    <row r="427" customFormat="1" ht="15.75" customHeight="1" x14ac:dyDescent="0.25"/>
    <row r="428" customFormat="1" ht="15.75" customHeight="1" x14ac:dyDescent="0.25"/>
    <row r="429" customFormat="1" ht="15.75" customHeight="1" x14ac:dyDescent="0.25"/>
    <row r="430" customFormat="1" ht="15.75" customHeight="1" x14ac:dyDescent="0.25"/>
    <row r="431" customFormat="1" ht="15.75" customHeight="1" x14ac:dyDescent="0.25"/>
    <row r="432" customFormat="1" ht="15.75" customHeight="1" x14ac:dyDescent="0.25"/>
    <row r="433" customFormat="1" ht="15.75" customHeight="1" x14ac:dyDescent="0.25"/>
    <row r="434" customFormat="1" ht="15.75" customHeight="1" x14ac:dyDescent="0.25"/>
    <row r="435" customFormat="1" ht="15.75" customHeight="1" x14ac:dyDescent="0.25"/>
    <row r="436" customFormat="1" ht="15.75" customHeight="1" x14ac:dyDescent="0.25"/>
    <row r="437" customFormat="1" ht="15.75" customHeight="1" x14ac:dyDescent="0.25"/>
    <row r="438" customFormat="1" ht="15.75" customHeight="1" x14ac:dyDescent="0.25"/>
    <row r="439" customFormat="1" ht="15.75" customHeight="1" x14ac:dyDescent="0.25"/>
    <row r="440" customFormat="1" ht="15.75" customHeight="1" x14ac:dyDescent="0.25"/>
    <row r="441" customFormat="1" ht="15.75" customHeight="1" x14ac:dyDescent="0.25"/>
    <row r="442" customFormat="1" ht="15.75" customHeight="1" x14ac:dyDescent="0.25"/>
    <row r="443" customFormat="1" ht="15.75" customHeight="1" x14ac:dyDescent="0.25"/>
    <row r="444" customFormat="1" ht="15.75" customHeight="1" x14ac:dyDescent="0.25"/>
    <row r="445" customFormat="1" ht="15.75" customHeight="1" x14ac:dyDescent="0.25"/>
    <row r="446" customFormat="1" ht="15.75" customHeight="1" x14ac:dyDescent="0.25"/>
    <row r="447" customFormat="1" ht="15.75" customHeight="1" x14ac:dyDescent="0.25"/>
    <row r="448" customFormat="1" ht="15.75" customHeight="1" x14ac:dyDescent="0.25"/>
    <row r="449" customFormat="1" ht="15.75" customHeight="1" x14ac:dyDescent="0.25"/>
    <row r="450" customFormat="1" ht="15.75" customHeight="1" x14ac:dyDescent="0.25"/>
    <row r="451" customFormat="1" ht="15.75" customHeight="1" x14ac:dyDescent="0.25"/>
    <row r="452" customFormat="1" ht="15.75" customHeight="1" x14ac:dyDescent="0.25"/>
    <row r="453" customFormat="1" ht="15.75" customHeight="1" x14ac:dyDescent="0.25"/>
    <row r="454" customFormat="1" ht="15.75" customHeight="1" x14ac:dyDescent="0.25"/>
    <row r="455" customFormat="1" ht="15.75" customHeight="1" x14ac:dyDescent="0.25"/>
    <row r="456" customFormat="1" ht="15.75" customHeight="1" x14ac:dyDescent="0.25"/>
    <row r="457" customFormat="1" ht="15.75" customHeight="1" x14ac:dyDescent="0.25"/>
    <row r="458" customFormat="1" ht="15.75" customHeight="1" x14ac:dyDescent="0.25"/>
    <row r="459" customFormat="1" ht="15.75" customHeight="1" x14ac:dyDescent="0.25"/>
    <row r="460" customFormat="1" ht="15.75" customHeight="1" x14ac:dyDescent="0.25"/>
    <row r="461" customFormat="1" ht="15.75" customHeight="1" x14ac:dyDescent="0.25"/>
    <row r="462" customFormat="1" ht="15.75" customHeight="1" x14ac:dyDescent="0.25"/>
    <row r="463" customFormat="1" ht="15.75" customHeight="1" x14ac:dyDescent="0.25"/>
    <row r="464" customFormat="1" ht="15.75" customHeight="1" x14ac:dyDescent="0.25"/>
    <row r="465" customFormat="1" ht="15.75" customHeight="1" x14ac:dyDescent="0.25"/>
    <row r="466" customFormat="1" ht="15.75" customHeight="1" x14ac:dyDescent="0.25"/>
    <row r="467" customFormat="1" ht="15.75" customHeight="1" x14ac:dyDescent="0.25"/>
    <row r="468" customFormat="1" ht="15.75" customHeight="1" x14ac:dyDescent="0.25"/>
    <row r="469" customFormat="1" ht="15.75" customHeight="1" x14ac:dyDescent="0.25"/>
    <row r="470" customFormat="1" ht="15.75" customHeight="1" x14ac:dyDescent="0.25"/>
    <row r="471" customFormat="1" ht="15.75" customHeight="1" x14ac:dyDescent="0.25"/>
    <row r="472" customFormat="1" ht="15.75" customHeight="1" x14ac:dyDescent="0.25"/>
    <row r="473" customFormat="1" ht="15.75" customHeight="1" x14ac:dyDescent="0.25"/>
    <row r="474" customFormat="1" ht="15.75" customHeight="1" x14ac:dyDescent="0.25"/>
    <row r="475" customFormat="1" ht="15.75" customHeight="1" x14ac:dyDescent="0.25"/>
    <row r="476" customFormat="1" ht="15.75" customHeight="1" x14ac:dyDescent="0.25"/>
    <row r="477" customFormat="1" ht="15.75" customHeight="1" x14ac:dyDescent="0.25"/>
    <row r="478" customFormat="1" ht="15.75" customHeight="1" x14ac:dyDescent="0.25"/>
    <row r="479" customFormat="1" ht="15.75" customHeight="1" x14ac:dyDescent="0.25"/>
    <row r="480" customFormat="1" ht="15.75" customHeight="1" x14ac:dyDescent="0.25"/>
    <row r="481" customFormat="1" ht="15.75" customHeight="1" x14ac:dyDescent="0.25"/>
    <row r="482" customFormat="1" ht="15.75" customHeight="1" x14ac:dyDescent="0.25"/>
    <row r="483" customFormat="1" ht="15.75" customHeight="1" x14ac:dyDescent="0.25"/>
    <row r="484" customFormat="1" ht="15.75" customHeight="1" x14ac:dyDescent="0.25"/>
    <row r="485" customFormat="1" ht="15.75" customHeight="1" x14ac:dyDescent="0.25"/>
    <row r="486" customFormat="1" ht="15.75" customHeight="1" x14ac:dyDescent="0.25"/>
    <row r="487" customFormat="1" ht="15.75" customHeight="1" x14ac:dyDescent="0.25"/>
    <row r="488" customFormat="1" ht="15.75" customHeight="1" x14ac:dyDescent="0.25"/>
    <row r="489" customFormat="1" ht="15.75" customHeight="1" x14ac:dyDescent="0.25"/>
    <row r="490" customFormat="1" ht="15.75" customHeight="1" x14ac:dyDescent="0.25"/>
    <row r="491" customFormat="1" ht="15.75" customHeight="1" x14ac:dyDescent="0.25"/>
    <row r="492" customFormat="1" ht="15.75" customHeight="1" x14ac:dyDescent="0.25"/>
    <row r="493" customFormat="1" ht="15.75" customHeight="1" x14ac:dyDescent="0.25"/>
    <row r="494" customFormat="1" ht="15.75" customHeight="1" x14ac:dyDescent="0.25"/>
    <row r="495" customFormat="1" ht="15.75" customHeight="1" x14ac:dyDescent="0.25"/>
    <row r="496" customFormat="1" ht="15.75" customHeight="1" x14ac:dyDescent="0.25"/>
    <row r="497" customFormat="1" ht="15.75" customHeight="1" x14ac:dyDescent="0.25"/>
    <row r="498" customFormat="1" ht="15.75" customHeight="1" x14ac:dyDescent="0.25"/>
    <row r="499" customFormat="1" ht="15.75" customHeight="1" x14ac:dyDescent="0.25"/>
    <row r="500" customFormat="1" ht="15.75" customHeight="1" x14ac:dyDescent="0.25"/>
    <row r="501" customFormat="1" ht="15.75" customHeight="1" x14ac:dyDescent="0.25"/>
    <row r="502" customFormat="1" ht="15.75" customHeight="1" x14ac:dyDescent="0.25"/>
    <row r="503" customFormat="1" ht="15.75" customHeight="1" x14ac:dyDescent="0.25"/>
    <row r="504" customFormat="1" ht="15.75" customHeight="1" x14ac:dyDescent="0.25"/>
    <row r="505" customFormat="1" ht="15.75" customHeight="1" x14ac:dyDescent="0.25"/>
    <row r="506" customFormat="1" ht="15.75" customHeight="1" x14ac:dyDescent="0.25"/>
    <row r="507" customFormat="1" ht="15.75" customHeight="1" x14ac:dyDescent="0.25"/>
    <row r="508" customFormat="1" ht="15.75" customHeight="1" x14ac:dyDescent="0.25"/>
    <row r="509" customFormat="1" ht="15.75" customHeight="1" x14ac:dyDescent="0.25"/>
    <row r="510" customFormat="1" ht="15.75" customHeight="1" x14ac:dyDescent="0.25"/>
    <row r="511" customFormat="1" ht="15.75" customHeight="1" x14ac:dyDescent="0.25"/>
    <row r="512" customFormat="1" ht="15.75" customHeight="1" x14ac:dyDescent="0.25"/>
    <row r="513" customFormat="1" ht="15.75" customHeight="1" x14ac:dyDescent="0.25"/>
    <row r="514" customFormat="1" ht="15.75" customHeight="1" x14ac:dyDescent="0.25"/>
    <row r="515" customFormat="1" ht="15.75" customHeight="1" x14ac:dyDescent="0.25"/>
    <row r="516" customFormat="1" ht="15.75" customHeight="1" x14ac:dyDescent="0.25"/>
    <row r="517" customFormat="1" ht="15.75" customHeight="1" x14ac:dyDescent="0.25"/>
    <row r="518" customFormat="1" ht="15.75" customHeight="1" x14ac:dyDescent="0.25"/>
    <row r="519" customFormat="1" ht="15.75" customHeight="1" x14ac:dyDescent="0.25"/>
    <row r="520" customFormat="1" ht="15.75" customHeight="1" x14ac:dyDescent="0.25"/>
    <row r="521" customFormat="1" ht="15.75" customHeight="1" x14ac:dyDescent="0.25"/>
    <row r="522" customFormat="1" ht="15.75" customHeight="1" x14ac:dyDescent="0.25"/>
    <row r="523" customFormat="1" ht="15.75" customHeight="1" x14ac:dyDescent="0.25"/>
    <row r="524" customFormat="1" ht="15.75" customHeight="1" x14ac:dyDescent="0.25"/>
    <row r="525" customFormat="1" ht="15.75" customHeight="1" x14ac:dyDescent="0.25"/>
    <row r="526" customFormat="1" ht="15.75" customHeight="1" x14ac:dyDescent="0.25"/>
    <row r="527" customFormat="1" ht="15.75" customHeight="1" x14ac:dyDescent="0.25"/>
    <row r="528" customFormat="1" ht="15.75" customHeight="1" x14ac:dyDescent="0.25"/>
    <row r="529" customFormat="1" ht="15.75" customHeight="1" x14ac:dyDescent="0.25"/>
    <row r="530" customFormat="1" ht="15.75" customHeight="1" x14ac:dyDescent="0.25"/>
    <row r="531" customFormat="1" ht="15.75" customHeight="1" x14ac:dyDescent="0.25"/>
    <row r="532" customFormat="1" ht="15.75" customHeight="1" x14ac:dyDescent="0.25"/>
    <row r="533" customFormat="1" ht="15.75" customHeight="1" x14ac:dyDescent="0.25"/>
    <row r="534" customFormat="1" ht="15.75" customHeight="1" x14ac:dyDescent="0.25"/>
    <row r="535" customFormat="1" ht="15.75" customHeight="1" x14ac:dyDescent="0.25"/>
    <row r="536" customFormat="1" ht="15.75" customHeight="1" x14ac:dyDescent="0.25"/>
    <row r="537" customFormat="1" ht="15.75" customHeight="1" x14ac:dyDescent="0.25"/>
    <row r="538" customFormat="1" ht="15.75" customHeight="1" x14ac:dyDescent="0.25"/>
    <row r="539" customFormat="1" ht="15.75" customHeight="1" x14ac:dyDescent="0.25"/>
    <row r="540" customFormat="1" ht="15.75" customHeight="1" x14ac:dyDescent="0.25"/>
    <row r="541" customFormat="1" ht="15.75" customHeight="1" x14ac:dyDescent="0.25"/>
    <row r="542" customFormat="1" ht="15.75" customHeight="1" x14ac:dyDescent="0.25"/>
    <row r="543" customFormat="1" ht="15.75" customHeight="1" x14ac:dyDescent="0.25"/>
    <row r="544" customFormat="1" ht="15.75" customHeight="1" x14ac:dyDescent="0.25"/>
    <row r="545" customFormat="1" ht="15.75" customHeight="1" x14ac:dyDescent="0.25"/>
    <row r="546" customFormat="1" ht="15.75" customHeight="1" x14ac:dyDescent="0.25"/>
    <row r="547" customFormat="1" ht="15.75" customHeight="1" x14ac:dyDescent="0.25"/>
    <row r="548" customFormat="1" ht="15.75" customHeight="1" x14ac:dyDescent="0.25"/>
    <row r="549" customFormat="1" ht="15.75" customHeight="1" x14ac:dyDescent="0.25"/>
    <row r="550" customFormat="1" ht="15.75" customHeight="1" x14ac:dyDescent="0.25"/>
    <row r="551" customFormat="1" ht="15.75" customHeight="1" x14ac:dyDescent="0.25"/>
    <row r="552" customFormat="1" ht="15.75" customHeight="1" x14ac:dyDescent="0.25"/>
    <row r="553" customFormat="1" ht="15.75" customHeight="1" x14ac:dyDescent="0.25"/>
    <row r="554" customFormat="1" ht="15.75" customHeight="1" x14ac:dyDescent="0.25"/>
    <row r="555" customFormat="1" ht="15.75" customHeight="1" x14ac:dyDescent="0.25"/>
    <row r="556" customFormat="1" ht="15.75" customHeight="1" x14ac:dyDescent="0.25"/>
    <row r="557" customFormat="1" ht="15.75" customHeight="1" x14ac:dyDescent="0.25"/>
    <row r="558" customFormat="1" ht="15.75" customHeight="1" x14ac:dyDescent="0.25"/>
    <row r="559" customFormat="1" ht="15.75" customHeight="1" x14ac:dyDescent="0.25"/>
    <row r="560" customFormat="1" ht="15.75" customHeight="1" x14ac:dyDescent="0.25"/>
    <row r="561" customFormat="1" ht="15.75" customHeight="1" x14ac:dyDescent="0.25"/>
    <row r="562" customFormat="1" ht="15.75" customHeight="1" x14ac:dyDescent="0.25"/>
    <row r="563" customFormat="1" ht="15.75" customHeight="1" x14ac:dyDescent="0.25"/>
    <row r="564" customFormat="1" ht="15.75" customHeight="1" x14ac:dyDescent="0.25"/>
    <row r="565" customFormat="1" ht="15.75" customHeight="1" x14ac:dyDescent="0.25"/>
    <row r="566" customFormat="1" ht="15.75" customHeight="1" x14ac:dyDescent="0.25"/>
    <row r="567" customFormat="1" ht="15.75" customHeight="1" x14ac:dyDescent="0.25"/>
    <row r="568" customFormat="1" ht="15.75" customHeight="1" x14ac:dyDescent="0.25"/>
    <row r="569" customFormat="1" ht="15.75" customHeight="1" x14ac:dyDescent="0.25"/>
    <row r="570" customFormat="1" ht="15.75" customHeight="1" x14ac:dyDescent="0.25"/>
    <row r="571" customFormat="1" ht="15.75" customHeight="1" x14ac:dyDescent="0.25"/>
    <row r="572" customFormat="1" ht="15.75" customHeight="1" x14ac:dyDescent="0.25"/>
    <row r="573" customFormat="1" ht="15.75" customHeight="1" x14ac:dyDescent="0.25"/>
    <row r="574" customFormat="1" ht="15.75" customHeight="1" x14ac:dyDescent="0.25"/>
    <row r="575" customFormat="1" ht="15.75" customHeight="1" x14ac:dyDescent="0.25"/>
    <row r="576" customFormat="1" ht="15.75" customHeight="1" x14ac:dyDescent="0.25"/>
    <row r="577" customFormat="1" ht="15.75" customHeight="1" x14ac:dyDescent="0.25"/>
    <row r="578" customFormat="1" ht="15.75" customHeight="1" x14ac:dyDescent="0.25"/>
    <row r="579" customFormat="1" ht="15.75" customHeight="1" x14ac:dyDescent="0.25"/>
    <row r="580" customFormat="1" ht="15.75" customHeight="1" x14ac:dyDescent="0.25"/>
    <row r="581" customFormat="1" ht="15.75" customHeight="1" x14ac:dyDescent="0.25"/>
    <row r="582" customFormat="1" ht="15.75" customHeight="1" x14ac:dyDescent="0.25"/>
    <row r="583" customFormat="1" ht="15.75" customHeight="1" x14ac:dyDescent="0.25"/>
    <row r="584" customFormat="1" ht="15.75" customHeight="1" x14ac:dyDescent="0.25"/>
    <row r="585" customFormat="1" ht="15.75" customHeight="1" x14ac:dyDescent="0.25"/>
    <row r="586" customFormat="1" ht="15.75" customHeight="1" x14ac:dyDescent="0.25"/>
    <row r="587" customFormat="1" ht="15.75" customHeight="1" x14ac:dyDescent="0.25"/>
    <row r="588" customFormat="1" ht="15.75" customHeight="1" x14ac:dyDescent="0.25"/>
    <row r="589" customFormat="1" ht="15.75" customHeight="1" x14ac:dyDescent="0.25"/>
    <row r="590" customFormat="1" ht="15.75" customHeight="1" x14ac:dyDescent="0.25"/>
    <row r="591" customFormat="1" ht="15.75" customHeight="1" x14ac:dyDescent="0.25"/>
    <row r="592" customFormat="1" ht="15.75" customHeight="1" x14ac:dyDescent="0.25"/>
    <row r="593" customFormat="1" ht="15.75" customHeight="1" x14ac:dyDescent="0.25"/>
    <row r="594" customFormat="1" ht="15.75" customHeight="1" x14ac:dyDescent="0.25"/>
    <row r="595" customFormat="1" ht="15.75" customHeight="1" x14ac:dyDescent="0.25"/>
    <row r="596" customFormat="1" ht="15.75" customHeight="1" x14ac:dyDescent="0.25"/>
    <row r="597" customFormat="1" ht="15.75" customHeight="1" x14ac:dyDescent="0.25"/>
    <row r="598" customFormat="1" ht="15.75" customHeight="1" x14ac:dyDescent="0.25"/>
    <row r="599" customFormat="1" ht="15.75" customHeight="1" x14ac:dyDescent="0.25"/>
    <row r="600" customFormat="1" ht="15.75" customHeight="1" x14ac:dyDescent="0.25"/>
    <row r="601" customFormat="1" ht="15.75" customHeight="1" x14ac:dyDescent="0.25"/>
    <row r="602" customFormat="1" ht="15.75" customHeight="1" x14ac:dyDescent="0.25"/>
    <row r="603" customFormat="1" ht="15.75" customHeight="1" x14ac:dyDescent="0.25"/>
    <row r="604" customFormat="1" ht="15.75" customHeight="1" x14ac:dyDescent="0.25"/>
    <row r="605" customFormat="1" ht="15.75" customHeight="1" x14ac:dyDescent="0.25"/>
    <row r="606" customFormat="1" ht="15.75" customHeight="1" x14ac:dyDescent="0.25"/>
    <row r="607" customFormat="1" ht="15.75" customHeight="1" x14ac:dyDescent="0.25"/>
    <row r="608" customFormat="1" ht="15.75" customHeight="1" x14ac:dyDescent="0.25"/>
    <row r="609" customFormat="1" ht="15.75" customHeight="1" x14ac:dyDescent="0.25"/>
    <row r="610" customFormat="1" ht="15.75" customHeight="1" x14ac:dyDescent="0.25"/>
    <row r="611" customFormat="1" ht="15.75" customHeight="1" x14ac:dyDescent="0.25"/>
    <row r="612" customFormat="1" ht="15.75" customHeight="1" x14ac:dyDescent="0.25"/>
    <row r="613" customFormat="1" ht="15.75" customHeight="1" x14ac:dyDescent="0.25"/>
    <row r="614" customFormat="1" ht="15.75" customHeight="1" x14ac:dyDescent="0.25"/>
    <row r="615" customFormat="1" ht="15.75" customHeight="1" x14ac:dyDescent="0.25"/>
    <row r="616" customFormat="1" ht="15.75" customHeight="1" x14ac:dyDescent="0.25"/>
    <row r="617" customFormat="1" ht="15.75" customHeight="1" x14ac:dyDescent="0.25"/>
    <row r="618" customFormat="1" ht="15.75" customHeight="1" x14ac:dyDescent="0.25"/>
    <row r="619" customFormat="1" ht="15.75" customHeight="1" x14ac:dyDescent="0.25"/>
    <row r="620" customFormat="1" ht="15.75" customHeight="1" x14ac:dyDescent="0.25"/>
    <row r="621" customFormat="1" ht="15.75" customHeight="1" x14ac:dyDescent="0.25"/>
    <row r="622" customFormat="1" ht="15.75" customHeight="1" x14ac:dyDescent="0.25"/>
    <row r="623" customFormat="1" ht="15.75" customHeight="1" x14ac:dyDescent="0.25"/>
    <row r="624" customFormat="1" ht="15.75" customHeight="1" x14ac:dyDescent="0.25"/>
    <row r="625" customFormat="1" ht="15.75" customHeight="1" x14ac:dyDescent="0.25"/>
    <row r="626" customFormat="1" ht="15.75" customHeight="1" x14ac:dyDescent="0.25"/>
    <row r="627" customFormat="1" ht="15.75" customHeight="1" x14ac:dyDescent="0.25"/>
    <row r="628" customFormat="1" ht="15.75" customHeight="1" x14ac:dyDescent="0.25"/>
    <row r="629" customFormat="1" ht="15.75" customHeight="1" x14ac:dyDescent="0.25"/>
    <row r="630" customFormat="1" ht="15.75" customHeight="1" x14ac:dyDescent="0.25"/>
    <row r="631" customFormat="1" ht="15.75" customHeight="1" x14ac:dyDescent="0.25"/>
    <row r="632" customFormat="1" ht="15.75" customHeight="1" x14ac:dyDescent="0.25"/>
    <row r="633" customFormat="1" ht="15.75" customHeight="1" x14ac:dyDescent="0.25"/>
    <row r="634" customFormat="1" ht="15.75" customHeight="1" x14ac:dyDescent="0.25"/>
    <row r="635" customFormat="1" ht="15.75" customHeight="1" x14ac:dyDescent="0.25"/>
    <row r="636" customFormat="1" ht="15.75" customHeight="1" x14ac:dyDescent="0.25"/>
    <row r="637" customFormat="1" ht="15.75" customHeight="1" x14ac:dyDescent="0.25"/>
    <row r="638" customFormat="1" ht="15.75" customHeight="1" x14ac:dyDescent="0.25"/>
    <row r="639" customFormat="1" ht="15.75" customHeight="1" x14ac:dyDescent="0.25"/>
    <row r="640" customFormat="1" ht="15.75" customHeight="1" x14ac:dyDescent="0.25"/>
    <row r="641" customFormat="1" ht="15.75" customHeight="1" x14ac:dyDescent="0.25"/>
    <row r="642" customFormat="1" ht="15.75" customHeight="1" x14ac:dyDescent="0.25"/>
    <row r="643" customFormat="1" ht="15.75" customHeight="1" x14ac:dyDescent="0.25"/>
    <row r="644" customFormat="1" ht="15.75" customHeight="1" x14ac:dyDescent="0.25"/>
    <row r="645" customFormat="1" ht="15.75" customHeight="1" x14ac:dyDescent="0.25"/>
    <row r="646" customFormat="1" ht="15.75" customHeight="1" x14ac:dyDescent="0.25"/>
    <row r="647" customFormat="1" ht="15.75" customHeight="1" x14ac:dyDescent="0.25"/>
    <row r="648" customFormat="1" ht="15.75" customHeight="1" x14ac:dyDescent="0.25"/>
    <row r="649" customFormat="1" ht="15.75" customHeight="1" x14ac:dyDescent="0.25"/>
    <row r="650" customFormat="1" ht="15.75" customHeight="1" x14ac:dyDescent="0.25"/>
    <row r="651" customFormat="1" ht="15.75" customHeight="1" x14ac:dyDescent="0.25"/>
    <row r="652" customFormat="1" ht="15.75" customHeight="1" x14ac:dyDescent="0.25"/>
    <row r="653" customFormat="1" ht="15.75" customHeight="1" x14ac:dyDescent="0.25"/>
    <row r="654" customFormat="1" ht="15.75" customHeight="1" x14ac:dyDescent="0.25"/>
    <row r="655" customFormat="1" ht="15.75" customHeight="1" x14ac:dyDescent="0.25"/>
    <row r="656" customFormat="1" ht="15.75" customHeight="1" x14ac:dyDescent="0.25"/>
    <row r="657" customFormat="1" ht="15.75" customHeight="1" x14ac:dyDescent="0.25"/>
    <row r="658" customFormat="1" ht="15.75" customHeight="1" x14ac:dyDescent="0.25"/>
    <row r="659" customFormat="1" ht="15.75" customHeight="1" x14ac:dyDescent="0.25"/>
    <row r="660" customFormat="1" ht="15.75" customHeight="1" x14ac:dyDescent="0.25"/>
    <row r="661" customFormat="1" ht="15.75" customHeight="1" x14ac:dyDescent="0.25"/>
    <row r="662" customFormat="1" ht="15.75" customHeight="1" x14ac:dyDescent="0.25"/>
    <row r="663" customFormat="1" ht="15.75" customHeight="1" x14ac:dyDescent="0.25"/>
    <row r="664" customFormat="1" ht="15.75" customHeight="1" x14ac:dyDescent="0.25"/>
    <row r="665" customFormat="1" ht="15.75" customHeight="1" x14ac:dyDescent="0.25"/>
    <row r="666" customFormat="1" ht="15.75" customHeight="1" x14ac:dyDescent="0.25"/>
    <row r="667" customFormat="1" ht="15.75" customHeight="1" x14ac:dyDescent="0.25"/>
    <row r="668" customFormat="1" ht="15.75" customHeight="1" x14ac:dyDescent="0.25"/>
    <row r="669" customFormat="1" ht="15.75" customHeight="1" x14ac:dyDescent="0.25"/>
    <row r="670" customFormat="1" ht="15.75" customHeight="1" x14ac:dyDescent="0.25"/>
    <row r="671" customFormat="1" ht="15.75" customHeight="1" x14ac:dyDescent="0.25"/>
    <row r="672" customFormat="1" ht="15.75" customHeight="1" x14ac:dyDescent="0.25"/>
    <row r="673" customFormat="1" ht="15.75" customHeight="1" x14ac:dyDescent="0.25"/>
    <row r="674" customFormat="1" ht="15.75" customHeight="1" x14ac:dyDescent="0.25"/>
    <row r="675" customFormat="1" ht="15.75" customHeight="1" x14ac:dyDescent="0.25"/>
    <row r="676" customFormat="1" ht="15.75" customHeight="1" x14ac:dyDescent="0.25"/>
    <row r="677" customFormat="1" ht="15.75" customHeight="1" x14ac:dyDescent="0.25"/>
    <row r="678" customFormat="1" ht="15.75" customHeight="1" x14ac:dyDescent="0.25"/>
    <row r="679" customFormat="1" ht="15.75" customHeight="1" x14ac:dyDescent="0.25"/>
    <row r="680" customFormat="1" ht="15.75" customHeight="1" x14ac:dyDescent="0.25"/>
    <row r="681" customFormat="1" ht="15.75" customHeight="1" x14ac:dyDescent="0.25"/>
    <row r="682" customFormat="1" ht="15.75" customHeight="1" x14ac:dyDescent="0.25"/>
    <row r="683" customFormat="1" ht="15.75" customHeight="1" x14ac:dyDescent="0.25"/>
    <row r="684" customFormat="1" ht="15.75" customHeight="1" x14ac:dyDescent="0.25"/>
    <row r="685" customFormat="1" ht="15.75" customHeight="1" x14ac:dyDescent="0.25"/>
    <row r="686" customFormat="1" ht="15.75" customHeight="1" x14ac:dyDescent="0.25"/>
    <row r="687" customFormat="1" ht="15.75" customHeight="1" x14ac:dyDescent="0.25"/>
    <row r="688" customFormat="1" ht="15.75" customHeight="1" x14ac:dyDescent="0.25"/>
    <row r="689" customFormat="1" ht="15.75" customHeight="1" x14ac:dyDescent="0.25"/>
    <row r="690" customFormat="1" ht="15.75" customHeight="1" x14ac:dyDescent="0.25"/>
    <row r="691" customFormat="1" ht="15.75" customHeight="1" x14ac:dyDescent="0.25"/>
    <row r="692" customFormat="1" ht="15.75" customHeight="1" x14ac:dyDescent="0.25"/>
    <row r="693" customFormat="1" ht="15.75" customHeight="1" x14ac:dyDescent="0.25"/>
    <row r="694" customFormat="1" ht="15.75" customHeight="1" x14ac:dyDescent="0.25"/>
    <row r="695" customFormat="1" ht="15.75" customHeight="1" x14ac:dyDescent="0.25"/>
    <row r="696" customFormat="1" ht="15.75" customHeight="1" x14ac:dyDescent="0.25"/>
    <row r="697" customFormat="1" ht="15.75" customHeight="1" x14ac:dyDescent="0.25"/>
    <row r="698" customFormat="1" ht="15.75" customHeight="1" x14ac:dyDescent="0.25"/>
    <row r="699" customFormat="1" ht="15.75" customHeight="1" x14ac:dyDescent="0.25"/>
    <row r="700" customFormat="1" ht="15.75" customHeight="1" x14ac:dyDescent="0.25"/>
    <row r="701" customFormat="1" ht="15.75" customHeight="1" x14ac:dyDescent="0.25"/>
    <row r="702" customFormat="1" ht="15.75" customHeight="1" x14ac:dyDescent="0.25"/>
    <row r="703" customFormat="1" ht="15.75" customHeight="1" x14ac:dyDescent="0.25"/>
    <row r="704" customFormat="1" ht="15.75" customHeight="1" x14ac:dyDescent="0.25"/>
    <row r="705" customFormat="1" ht="15.75" customHeight="1" x14ac:dyDescent="0.25"/>
    <row r="706" customFormat="1" ht="15.75" customHeight="1" x14ac:dyDescent="0.25"/>
    <row r="707" customFormat="1" ht="15.75" customHeight="1" x14ac:dyDescent="0.25"/>
    <row r="708" customFormat="1" ht="15.75" customHeight="1" x14ac:dyDescent="0.25"/>
    <row r="709" customFormat="1" ht="15.75" customHeight="1" x14ac:dyDescent="0.25"/>
    <row r="710" customFormat="1" ht="15.75" customHeight="1" x14ac:dyDescent="0.25"/>
    <row r="711" customFormat="1" ht="15.75" customHeight="1" x14ac:dyDescent="0.25"/>
    <row r="712" customFormat="1" ht="15.75" customHeight="1" x14ac:dyDescent="0.25"/>
    <row r="713" customFormat="1" ht="15.75" customHeight="1" x14ac:dyDescent="0.25"/>
    <row r="714" customFormat="1" ht="15.75" customHeight="1" x14ac:dyDescent="0.25"/>
    <row r="715" customFormat="1" ht="15.75" customHeight="1" x14ac:dyDescent="0.25"/>
    <row r="716" customFormat="1" ht="15.75" customHeight="1" x14ac:dyDescent="0.25"/>
    <row r="717" customFormat="1" ht="15.75" customHeight="1" x14ac:dyDescent="0.25"/>
    <row r="718" customFormat="1" ht="15.75" customHeight="1" x14ac:dyDescent="0.25"/>
    <row r="719" customFormat="1" ht="15.75" customHeight="1" x14ac:dyDescent="0.25"/>
    <row r="720" customFormat="1" ht="15.75" customHeight="1" x14ac:dyDescent="0.25"/>
    <row r="721" customFormat="1" ht="15.75" customHeight="1" x14ac:dyDescent="0.25"/>
    <row r="722" customFormat="1" ht="15.75" customHeight="1" x14ac:dyDescent="0.25"/>
    <row r="723" customFormat="1" ht="15.75" customHeight="1" x14ac:dyDescent="0.25"/>
    <row r="724" customFormat="1" ht="15.75" customHeight="1" x14ac:dyDescent="0.25"/>
    <row r="725" customFormat="1" ht="15.75" customHeight="1" x14ac:dyDescent="0.25"/>
    <row r="726" customFormat="1" ht="15.75" customHeight="1" x14ac:dyDescent="0.25"/>
    <row r="727" customFormat="1" ht="15.75" customHeight="1" x14ac:dyDescent="0.25"/>
    <row r="728" customFormat="1" ht="15.75" customHeight="1" x14ac:dyDescent="0.25"/>
    <row r="729" customFormat="1" ht="15.75" customHeight="1" x14ac:dyDescent="0.25"/>
    <row r="730" customFormat="1" ht="15.75" customHeight="1" x14ac:dyDescent="0.25"/>
    <row r="731" customFormat="1" ht="15.75" customHeight="1" x14ac:dyDescent="0.25"/>
    <row r="732" customFormat="1" ht="15.75" customHeight="1" x14ac:dyDescent="0.25"/>
    <row r="733" customFormat="1" ht="15.75" customHeight="1" x14ac:dyDescent="0.25"/>
    <row r="734" customFormat="1" ht="15.75" customHeight="1" x14ac:dyDescent="0.25"/>
    <row r="735" customFormat="1" ht="15.75" customHeight="1" x14ac:dyDescent="0.25"/>
    <row r="736" customFormat="1" ht="15.75" customHeight="1" x14ac:dyDescent="0.25"/>
    <row r="737" customFormat="1" ht="15.75" customHeight="1" x14ac:dyDescent="0.25"/>
    <row r="738" customFormat="1" ht="15.75" customHeight="1" x14ac:dyDescent="0.25"/>
    <row r="739" customFormat="1" ht="15.75" customHeight="1" x14ac:dyDescent="0.25"/>
    <row r="740" customFormat="1" ht="15.75" customHeight="1" x14ac:dyDescent="0.25"/>
    <row r="741" customFormat="1" ht="15.75" customHeight="1" x14ac:dyDescent="0.25"/>
    <row r="742" customFormat="1" ht="15.75" customHeight="1" x14ac:dyDescent="0.25"/>
    <row r="743" customFormat="1" ht="15.75" customHeight="1" x14ac:dyDescent="0.25"/>
    <row r="744" customFormat="1" ht="15.75" customHeight="1" x14ac:dyDescent="0.25"/>
    <row r="745" customFormat="1" ht="15.75" customHeight="1" x14ac:dyDescent="0.25"/>
    <row r="746" customFormat="1" ht="15.75" customHeight="1" x14ac:dyDescent="0.25"/>
    <row r="747" customFormat="1" ht="15.75" customHeight="1" x14ac:dyDescent="0.25"/>
    <row r="748" customFormat="1" ht="15.75" customHeight="1" x14ac:dyDescent="0.25"/>
    <row r="749" customFormat="1" ht="15.75" customHeight="1" x14ac:dyDescent="0.25"/>
    <row r="750" customFormat="1" ht="15.75" customHeight="1" x14ac:dyDescent="0.25"/>
    <row r="751" customFormat="1" ht="15.75" customHeight="1" x14ac:dyDescent="0.25"/>
    <row r="752" customFormat="1" ht="15.75" customHeight="1" x14ac:dyDescent="0.25"/>
    <row r="753" customFormat="1" ht="15.75" customHeight="1" x14ac:dyDescent="0.25"/>
    <row r="754" customFormat="1" ht="15.75" customHeight="1" x14ac:dyDescent="0.25"/>
    <row r="755" customFormat="1" ht="15.75" customHeight="1" x14ac:dyDescent="0.25"/>
    <row r="756" customFormat="1" ht="15.75" customHeight="1" x14ac:dyDescent="0.25"/>
    <row r="757" customFormat="1" ht="15.75" customHeight="1" x14ac:dyDescent="0.25"/>
    <row r="758" customFormat="1" ht="15.75" customHeight="1" x14ac:dyDescent="0.25"/>
    <row r="759" customFormat="1" ht="15.75" customHeight="1" x14ac:dyDescent="0.25"/>
    <row r="760" customFormat="1" ht="15.75" customHeight="1" x14ac:dyDescent="0.25"/>
    <row r="761" customFormat="1" ht="15.75" customHeight="1" x14ac:dyDescent="0.25"/>
    <row r="762" customFormat="1" ht="15.75" customHeight="1" x14ac:dyDescent="0.25"/>
    <row r="763" customFormat="1" ht="15.75" customHeight="1" x14ac:dyDescent="0.25"/>
    <row r="764" customFormat="1" ht="15.75" customHeight="1" x14ac:dyDescent="0.25"/>
    <row r="765" customFormat="1" ht="15.75" customHeight="1" x14ac:dyDescent="0.25"/>
    <row r="766" customFormat="1" ht="15.75" customHeight="1" x14ac:dyDescent="0.25"/>
    <row r="767" customFormat="1" ht="15.75" customHeight="1" x14ac:dyDescent="0.25"/>
    <row r="768" customFormat="1" ht="15.75" customHeight="1" x14ac:dyDescent="0.25"/>
    <row r="769" customFormat="1" ht="15.75" customHeight="1" x14ac:dyDescent="0.25"/>
    <row r="770" customFormat="1" ht="15.75" customHeight="1" x14ac:dyDescent="0.25"/>
    <row r="771" customFormat="1" ht="15.75" customHeight="1" x14ac:dyDescent="0.25"/>
    <row r="772" customFormat="1" ht="15.75" customHeight="1" x14ac:dyDescent="0.25"/>
    <row r="773" customFormat="1" ht="15.75" customHeight="1" x14ac:dyDescent="0.25"/>
    <row r="774" customFormat="1" ht="15.75" customHeight="1" x14ac:dyDescent="0.25"/>
    <row r="775" customFormat="1" ht="15.75" customHeight="1" x14ac:dyDescent="0.25"/>
    <row r="776" customFormat="1" ht="15.75" customHeight="1" x14ac:dyDescent="0.25"/>
    <row r="777" customFormat="1" ht="15.75" customHeight="1" x14ac:dyDescent="0.25"/>
    <row r="778" customFormat="1" ht="15.75" customHeight="1" x14ac:dyDescent="0.25"/>
    <row r="779" customFormat="1" ht="15.75" customHeight="1" x14ac:dyDescent="0.25"/>
    <row r="780" customFormat="1" ht="15.75" customHeight="1" x14ac:dyDescent="0.25"/>
    <row r="781" customFormat="1" ht="15.75" customHeight="1" x14ac:dyDescent="0.25"/>
    <row r="782" customFormat="1" ht="15.75" customHeight="1" x14ac:dyDescent="0.25"/>
    <row r="783" customFormat="1" ht="15.75" customHeight="1" x14ac:dyDescent="0.25"/>
    <row r="784" customFormat="1" ht="15.75" customHeight="1" x14ac:dyDescent="0.25"/>
    <row r="785" customFormat="1" ht="15.75" customHeight="1" x14ac:dyDescent="0.25"/>
    <row r="786" customFormat="1" ht="15.75" customHeight="1" x14ac:dyDescent="0.25"/>
    <row r="787" customFormat="1" ht="15.75" customHeight="1" x14ac:dyDescent="0.25"/>
    <row r="788" customFormat="1" ht="15.75" customHeight="1" x14ac:dyDescent="0.25"/>
    <row r="789" customFormat="1" ht="15.75" customHeight="1" x14ac:dyDescent="0.25"/>
    <row r="790" customFormat="1" ht="15.75" customHeight="1" x14ac:dyDescent="0.25"/>
    <row r="791" customFormat="1" ht="15.75" customHeight="1" x14ac:dyDescent="0.25"/>
    <row r="792" customFormat="1" ht="15.75" customHeight="1" x14ac:dyDescent="0.25"/>
    <row r="793" customFormat="1" ht="15.75" customHeight="1" x14ac:dyDescent="0.25"/>
    <row r="794" customFormat="1" ht="15.75" customHeight="1" x14ac:dyDescent="0.25"/>
    <row r="795" customFormat="1" ht="15.75" customHeight="1" x14ac:dyDescent="0.25"/>
    <row r="796" customFormat="1" ht="15.75" customHeight="1" x14ac:dyDescent="0.25"/>
    <row r="797" customFormat="1" ht="15.75" customHeight="1" x14ac:dyDescent="0.25"/>
    <row r="798" customFormat="1" ht="15.75" customHeight="1" x14ac:dyDescent="0.25"/>
    <row r="799" customFormat="1" ht="15.75" customHeight="1" x14ac:dyDescent="0.25"/>
    <row r="800" customFormat="1" ht="15.75" customHeight="1" x14ac:dyDescent="0.25"/>
    <row r="801" customFormat="1" ht="15.75" customHeight="1" x14ac:dyDescent="0.25"/>
    <row r="802" customFormat="1" ht="15.75" customHeight="1" x14ac:dyDescent="0.25"/>
    <row r="803" customFormat="1" ht="15.75" customHeight="1" x14ac:dyDescent="0.25"/>
    <row r="804" customFormat="1" ht="15.75" customHeight="1" x14ac:dyDescent="0.25"/>
    <row r="805" customFormat="1" ht="15.75" customHeight="1" x14ac:dyDescent="0.25"/>
    <row r="806" customFormat="1" ht="15.75" customHeight="1" x14ac:dyDescent="0.25"/>
    <row r="807" customFormat="1" ht="15.75" customHeight="1" x14ac:dyDescent="0.25"/>
    <row r="808" customFormat="1" ht="15.75" customHeight="1" x14ac:dyDescent="0.25"/>
    <row r="809" customFormat="1" ht="15.75" customHeight="1" x14ac:dyDescent="0.25"/>
    <row r="810" customFormat="1" ht="15.75" customHeight="1" x14ac:dyDescent="0.25"/>
    <row r="811" customFormat="1" ht="15.75" customHeight="1" x14ac:dyDescent="0.25"/>
    <row r="812" customFormat="1" ht="15.75" customHeight="1" x14ac:dyDescent="0.25"/>
    <row r="813" customFormat="1" ht="15.75" customHeight="1" x14ac:dyDescent="0.25"/>
    <row r="814" customFormat="1" ht="15.75" customHeight="1" x14ac:dyDescent="0.25"/>
    <row r="815" customFormat="1" ht="15.75" customHeight="1" x14ac:dyDescent="0.25"/>
    <row r="816" customFormat="1" ht="15.75" customHeight="1" x14ac:dyDescent="0.25"/>
    <row r="817" customFormat="1" ht="15.75" customHeight="1" x14ac:dyDescent="0.25"/>
    <row r="818" customFormat="1" ht="15.75" customHeight="1" x14ac:dyDescent="0.25"/>
    <row r="819" customFormat="1" ht="15.75" customHeight="1" x14ac:dyDescent="0.25"/>
    <row r="820" customFormat="1" ht="15.75" customHeight="1" x14ac:dyDescent="0.25"/>
    <row r="821" customFormat="1" ht="15.75" customHeight="1" x14ac:dyDescent="0.25"/>
    <row r="822" customFormat="1" ht="15.75" customHeight="1" x14ac:dyDescent="0.25"/>
    <row r="823" customFormat="1" ht="15.75" customHeight="1" x14ac:dyDescent="0.25"/>
    <row r="824" customFormat="1" ht="15.75" customHeight="1" x14ac:dyDescent="0.25"/>
    <row r="825" customFormat="1" ht="15.75" customHeight="1" x14ac:dyDescent="0.25"/>
    <row r="826" customFormat="1" ht="15.75" customHeight="1" x14ac:dyDescent="0.25"/>
    <row r="827" customFormat="1" ht="15.75" customHeight="1" x14ac:dyDescent="0.25"/>
    <row r="828" customFormat="1" ht="15.75" customHeight="1" x14ac:dyDescent="0.25"/>
    <row r="829" customFormat="1" ht="15.75" customHeight="1" x14ac:dyDescent="0.25"/>
    <row r="830" customFormat="1" ht="15.75" customHeight="1" x14ac:dyDescent="0.25"/>
    <row r="831" customFormat="1" ht="15.75" customHeight="1" x14ac:dyDescent="0.25"/>
    <row r="832" customFormat="1" ht="15.75" customHeight="1" x14ac:dyDescent="0.25"/>
    <row r="833" customFormat="1" ht="15.75" customHeight="1" x14ac:dyDescent="0.25"/>
    <row r="834" customFormat="1" ht="15.75" customHeight="1" x14ac:dyDescent="0.25"/>
    <row r="835" customFormat="1" ht="15.75" customHeight="1" x14ac:dyDescent="0.25"/>
    <row r="836" customFormat="1" ht="15.75" customHeight="1" x14ac:dyDescent="0.25"/>
    <row r="837" customFormat="1" ht="15.75" customHeight="1" x14ac:dyDescent="0.25"/>
    <row r="838" customFormat="1" ht="15.75" customHeight="1" x14ac:dyDescent="0.25"/>
    <row r="839" customFormat="1" ht="15.75" customHeight="1" x14ac:dyDescent="0.25"/>
    <row r="840" customFormat="1" ht="15.75" customHeight="1" x14ac:dyDescent="0.25"/>
    <row r="841" customFormat="1" ht="15.75" customHeight="1" x14ac:dyDescent="0.25"/>
    <row r="842" customFormat="1" ht="15.75" customHeight="1" x14ac:dyDescent="0.25"/>
    <row r="843" customFormat="1" ht="15.75" customHeight="1" x14ac:dyDescent="0.25"/>
    <row r="844" customFormat="1" ht="15.75" customHeight="1" x14ac:dyDescent="0.25"/>
    <row r="845" customFormat="1" ht="15.75" customHeight="1" x14ac:dyDescent="0.25"/>
    <row r="846" customFormat="1" ht="15.75" customHeight="1" x14ac:dyDescent="0.25"/>
    <row r="847" customFormat="1" ht="15.75" customHeight="1" x14ac:dyDescent="0.25"/>
    <row r="848" customFormat="1" ht="15.75" customHeight="1" x14ac:dyDescent="0.25"/>
    <row r="849" customFormat="1" ht="15.75" customHeight="1" x14ac:dyDescent="0.25"/>
    <row r="850" customFormat="1" ht="15.75" customHeight="1" x14ac:dyDescent="0.25"/>
    <row r="851" customFormat="1" ht="15.75" customHeight="1" x14ac:dyDescent="0.25"/>
    <row r="852" customFormat="1" ht="15.75" customHeight="1" x14ac:dyDescent="0.25"/>
    <row r="853" customFormat="1" ht="15.75" customHeight="1" x14ac:dyDescent="0.25"/>
    <row r="854" customFormat="1" ht="15.75" customHeight="1" x14ac:dyDescent="0.25"/>
    <row r="855" customFormat="1" ht="15.75" customHeight="1" x14ac:dyDescent="0.25"/>
    <row r="856" customFormat="1" ht="15.75" customHeight="1" x14ac:dyDescent="0.25"/>
    <row r="857" customFormat="1" ht="15.75" customHeight="1" x14ac:dyDescent="0.25"/>
    <row r="858" customFormat="1" ht="15.75" customHeight="1" x14ac:dyDescent="0.25"/>
    <row r="859" customFormat="1" ht="15.75" customHeight="1" x14ac:dyDescent="0.25"/>
    <row r="860" customFormat="1" ht="15.75" customHeight="1" x14ac:dyDescent="0.25"/>
    <row r="861" customFormat="1" ht="15.75" customHeight="1" x14ac:dyDescent="0.25"/>
    <row r="862" customFormat="1" ht="15.75" customHeight="1" x14ac:dyDescent="0.25"/>
    <row r="863" customFormat="1" ht="15.75" customHeight="1" x14ac:dyDescent="0.25"/>
    <row r="864" customFormat="1" ht="15.75" customHeight="1" x14ac:dyDescent="0.25"/>
    <row r="865" customFormat="1" ht="15.75" customHeight="1" x14ac:dyDescent="0.25"/>
    <row r="866" customFormat="1" ht="15.75" customHeight="1" x14ac:dyDescent="0.25"/>
    <row r="867" customFormat="1" ht="15.75" customHeight="1" x14ac:dyDescent="0.25"/>
    <row r="868" customFormat="1" ht="15.75" customHeight="1" x14ac:dyDescent="0.25"/>
    <row r="869" customFormat="1" ht="15.75" customHeight="1" x14ac:dyDescent="0.25"/>
    <row r="870" customFormat="1" ht="15.75" customHeight="1" x14ac:dyDescent="0.25"/>
    <row r="871" customFormat="1" ht="15.75" customHeight="1" x14ac:dyDescent="0.25"/>
    <row r="872" customFormat="1" ht="15.75" customHeight="1" x14ac:dyDescent="0.25"/>
    <row r="873" customFormat="1" ht="15.75" customHeight="1" x14ac:dyDescent="0.25"/>
    <row r="874" customFormat="1" ht="15.75" customHeight="1" x14ac:dyDescent="0.25"/>
    <row r="875" customFormat="1" ht="15.75" customHeight="1" x14ac:dyDescent="0.25"/>
    <row r="876" customFormat="1" ht="15.75" customHeight="1" x14ac:dyDescent="0.25"/>
    <row r="877" customFormat="1" ht="15.75" customHeight="1" x14ac:dyDescent="0.25"/>
    <row r="878" customFormat="1" ht="15.75" customHeight="1" x14ac:dyDescent="0.25"/>
    <row r="879" customFormat="1" ht="15.75" customHeight="1" x14ac:dyDescent="0.25"/>
    <row r="880" customFormat="1" ht="15.75" customHeight="1" x14ac:dyDescent="0.25"/>
    <row r="881" customFormat="1" ht="15.75" customHeight="1" x14ac:dyDescent="0.25"/>
    <row r="882" customFormat="1" ht="15.75" customHeight="1" x14ac:dyDescent="0.25"/>
    <row r="883" customFormat="1" ht="15.75" customHeight="1" x14ac:dyDescent="0.25"/>
    <row r="884" customFormat="1" ht="15.75" customHeight="1" x14ac:dyDescent="0.25"/>
    <row r="885" customFormat="1" ht="15.75" customHeight="1" x14ac:dyDescent="0.25"/>
    <row r="886" customFormat="1" ht="15.75" customHeight="1" x14ac:dyDescent="0.25"/>
    <row r="887" customFormat="1" ht="15.75" customHeight="1" x14ac:dyDescent="0.25"/>
    <row r="888" customFormat="1" ht="15.75" customHeight="1" x14ac:dyDescent="0.25"/>
    <row r="889" customFormat="1" ht="15.75" customHeight="1" x14ac:dyDescent="0.25"/>
    <row r="890" customFormat="1" ht="15.75" customHeight="1" x14ac:dyDescent="0.25"/>
    <row r="891" customFormat="1" ht="15.75" customHeight="1" x14ac:dyDescent="0.25"/>
    <row r="892" customFormat="1" ht="15.75" customHeight="1" x14ac:dyDescent="0.25"/>
    <row r="893" customFormat="1" ht="15.75" customHeight="1" x14ac:dyDescent="0.25"/>
    <row r="894" customFormat="1" ht="15.75" customHeight="1" x14ac:dyDescent="0.25"/>
    <row r="895" customFormat="1" ht="15.75" customHeight="1" x14ac:dyDescent="0.25"/>
    <row r="896" customFormat="1" ht="15.75" customHeight="1" x14ac:dyDescent="0.25"/>
    <row r="897" customFormat="1" ht="15.75" customHeight="1" x14ac:dyDescent="0.25"/>
    <row r="898" customFormat="1" ht="15.75" customHeight="1" x14ac:dyDescent="0.25"/>
    <row r="899" customFormat="1" ht="15.75" customHeight="1" x14ac:dyDescent="0.25"/>
    <row r="900" customFormat="1" ht="15.75" customHeight="1" x14ac:dyDescent="0.25"/>
    <row r="901" customFormat="1" ht="15.75" customHeight="1" x14ac:dyDescent="0.25"/>
    <row r="902" customFormat="1" ht="15.75" customHeight="1" x14ac:dyDescent="0.25"/>
    <row r="903" customFormat="1" ht="15.75" customHeight="1" x14ac:dyDescent="0.25"/>
    <row r="904" customFormat="1" ht="15.75" customHeight="1" x14ac:dyDescent="0.25"/>
    <row r="905" customFormat="1" ht="15.75" customHeight="1" x14ac:dyDescent="0.25"/>
    <row r="906" customFormat="1" ht="15.75" customHeight="1" x14ac:dyDescent="0.25"/>
    <row r="907" customFormat="1" ht="15.75" customHeight="1" x14ac:dyDescent="0.25"/>
    <row r="908" customFormat="1" ht="15.75" customHeight="1" x14ac:dyDescent="0.25"/>
    <row r="909" customFormat="1" ht="15.75" customHeight="1" x14ac:dyDescent="0.25"/>
    <row r="910" customFormat="1" ht="15.75" customHeight="1" x14ac:dyDescent="0.25"/>
    <row r="911" customFormat="1" ht="15.75" customHeight="1" x14ac:dyDescent="0.25"/>
    <row r="912" customFormat="1" ht="15.75" customHeight="1" x14ac:dyDescent="0.25"/>
    <row r="913" customFormat="1" ht="15.75" customHeight="1" x14ac:dyDescent="0.25"/>
    <row r="914" customFormat="1" ht="15.75" customHeight="1" x14ac:dyDescent="0.25"/>
    <row r="915" customFormat="1" ht="15.75" customHeight="1" x14ac:dyDescent="0.25"/>
    <row r="916" customFormat="1" ht="15.75" customHeight="1" x14ac:dyDescent="0.25"/>
    <row r="917" customFormat="1" ht="15.75" customHeight="1" x14ac:dyDescent="0.25"/>
    <row r="918" customFormat="1" ht="15.75" customHeight="1" x14ac:dyDescent="0.25"/>
    <row r="919" customFormat="1" ht="15.75" customHeight="1" x14ac:dyDescent="0.25"/>
    <row r="920" customFormat="1" ht="15.75" customHeight="1" x14ac:dyDescent="0.25"/>
    <row r="921" customFormat="1" ht="15.75" customHeight="1" x14ac:dyDescent="0.25"/>
    <row r="922" customFormat="1" ht="15.75" customHeight="1" x14ac:dyDescent="0.25"/>
    <row r="923" customFormat="1" ht="15.75" customHeight="1" x14ac:dyDescent="0.25"/>
    <row r="924" customFormat="1" ht="15.75" customHeight="1" x14ac:dyDescent="0.25"/>
    <row r="925" customFormat="1" ht="15.75" customHeight="1" x14ac:dyDescent="0.25"/>
    <row r="926" customFormat="1" ht="15.75" customHeight="1" x14ac:dyDescent="0.25"/>
    <row r="927" customFormat="1" ht="15.75" customHeight="1" x14ac:dyDescent="0.25"/>
    <row r="928" customFormat="1" ht="15.75" customHeight="1" x14ac:dyDescent="0.25"/>
    <row r="929" customFormat="1" ht="15.75" customHeight="1" x14ac:dyDescent="0.25"/>
    <row r="930" customFormat="1" ht="15.75" customHeight="1" x14ac:dyDescent="0.25"/>
    <row r="931" customFormat="1" ht="15.75" customHeight="1" x14ac:dyDescent="0.25"/>
    <row r="932" customFormat="1" ht="15.75" customHeight="1" x14ac:dyDescent="0.25"/>
    <row r="933" customFormat="1" ht="15.75" customHeight="1" x14ac:dyDescent="0.25"/>
    <row r="934" customFormat="1" ht="15.75" customHeight="1" x14ac:dyDescent="0.25"/>
    <row r="935" customFormat="1" ht="15.75" customHeight="1" x14ac:dyDescent="0.25"/>
    <row r="936" customFormat="1" ht="15.75" customHeight="1" x14ac:dyDescent="0.25"/>
    <row r="937" customFormat="1" ht="15.75" customHeight="1" x14ac:dyDescent="0.25"/>
    <row r="938" customFormat="1" ht="15.75" customHeight="1" x14ac:dyDescent="0.25"/>
    <row r="939" customFormat="1" ht="15.75" customHeight="1" x14ac:dyDescent="0.25"/>
    <row r="940" customFormat="1" ht="15.75" customHeight="1" x14ac:dyDescent="0.25"/>
    <row r="941" customFormat="1" ht="15.75" customHeight="1" x14ac:dyDescent="0.25"/>
    <row r="942" customFormat="1" ht="15.75" customHeight="1" x14ac:dyDescent="0.25"/>
    <row r="943" customFormat="1" ht="15.75" customHeight="1" x14ac:dyDescent="0.25"/>
    <row r="944" customFormat="1" ht="15.75" customHeight="1" x14ac:dyDescent="0.25"/>
    <row r="945" customFormat="1" ht="15.75" customHeight="1" x14ac:dyDescent="0.25"/>
    <row r="946" customFormat="1" ht="15.75" customHeight="1" x14ac:dyDescent="0.25"/>
    <row r="947" customFormat="1" ht="15.75" customHeight="1" x14ac:dyDescent="0.25"/>
    <row r="948" customFormat="1" ht="15.75" customHeight="1" x14ac:dyDescent="0.25"/>
    <row r="949" customFormat="1" ht="15.75" customHeight="1" x14ac:dyDescent="0.25"/>
    <row r="950" customFormat="1" ht="15.75" customHeight="1" x14ac:dyDescent="0.25"/>
    <row r="951" customFormat="1" ht="15.75" customHeight="1" x14ac:dyDescent="0.25"/>
    <row r="952" customFormat="1" ht="15.75" customHeight="1" x14ac:dyDescent="0.25"/>
    <row r="953" customFormat="1" ht="15.75" customHeight="1" x14ac:dyDescent="0.25"/>
    <row r="954" customFormat="1" ht="15.75" customHeight="1" x14ac:dyDescent="0.25"/>
    <row r="955" customFormat="1" ht="15.75" customHeight="1" x14ac:dyDescent="0.25"/>
    <row r="956" customFormat="1" ht="15.75" customHeight="1" x14ac:dyDescent="0.25"/>
    <row r="957" customFormat="1" ht="15.75" customHeight="1" x14ac:dyDescent="0.25"/>
    <row r="958" customFormat="1" ht="15.75" customHeight="1" x14ac:dyDescent="0.25"/>
    <row r="959" customFormat="1" ht="15.75" customHeight="1" x14ac:dyDescent="0.25"/>
    <row r="960" customFormat="1" ht="15.75" customHeight="1" x14ac:dyDescent="0.25"/>
    <row r="961" customFormat="1" ht="15.75" customHeight="1" x14ac:dyDescent="0.25"/>
    <row r="962" customFormat="1" ht="15.75" customHeight="1" x14ac:dyDescent="0.25"/>
    <row r="963" customFormat="1" ht="15.75" customHeight="1" x14ac:dyDescent="0.25"/>
    <row r="964" customFormat="1" ht="15.75" customHeight="1" x14ac:dyDescent="0.25"/>
    <row r="965" customFormat="1" ht="15.75" customHeight="1" x14ac:dyDescent="0.25"/>
    <row r="966" customFormat="1" ht="15.75" customHeight="1" x14ac:dyDescent="0.25"/>
    <row r="967" customFormat="1" ht="15.75" customHeight="1" x14ac:dyDescent="0.25"/>
    <row r="968" customFormat="1" ht="15.75" customHeight="1" x14ac:dyDescent="0.25"/>
    <row r="969" customFormat="1" ht="15.75" customHeight="1" x14ac:dyDescent="0.25"/>
    <row r="970" customFormat="1" ht="15.75" customHeight="1" x14ac:dyDescent="0.25"/>
    <row r="971" customFormat="1" ht="15.75" customHeight="1" x14ac:dyDescent="0.25"/>
    <row r="972" customFormat="1" ht="15.75" customHeight="1" x14ac:dyDescent="0.25"/>
    <row r="973" customFormat="1" ht="15.75" customHeight="1" x14ac:dyDescent="0.25"/>
    <row r="974" customFormat="1" ht="15.75" customHeight="1" x14ac:dyDescent="0.25"/>
    <row r="975" customFormat="1" ht="15.75" customHeight="1" x14ac:dyDescent="0.25"/>
    <row r="976" customFormat="1" ht="15.75" customHeight="1" x14ac:dyDescent="0.25"/>
    <row r="977" customFormat="1" ht="15.75" customHeight="1" x14ac:dyDescent="0.25"/>
    <row r="978" customFormat="1" ht="15.75" customHeight="1" x14ac:dyDescent="0.25"/>
    <row r="979" customFormat="1" ht="15.75" customHeight="1" x14ac:dyDescent="0.25"/>
    <row r="980" customFormat="1" ht="15.75" customHeight="1" x14ac:dyDescent="0.25"/>
    <row r="981" customFormat="1" ht="15.75" customHeight="1" x14ac:dyDescent="0.25"/>
    <row r="982" customFormat="1" ht="15.75" customHeight="1" x14ac:dyDescent="0.25"/>
    <row r="983" customFormat="1" ht="15.75" customHeight="1" x14ac:dyDescent="0.25"/>
    <row r="984" customFormat="1" ht="15.75" customHeight="1" x14ac:dyDescent="0.25"/>
    <row r="985" customFormat="1" ht="15.75" customHeight="1" x14ac:dyDescent="0.25"/>
    <row r="986" customFormat="1" ht="15.75" customHeight="1" x14ac:dyDescent="0.25"/>
    <row r="987" customFormat="1" ht="15.75" customHeight="1" x14ac:dyDescent="0.25"/>
    <row r="988" customFormat="1" ht="15.75" customHeight="1" x14ac:dyDescent="0.25"/>
    <row r="989" customFormat="1" ht="15.75" customHeight="1" x14ac:dyDescent="0.25"/>
    <row r="990" customFormat="1" ht="15.75" customHeight="1" x14ac:dyDescent="0.25"/>
    <row r="991" customFormat="1" ht="15.75" customHeight="1" x14ac:dyDescent="0.25"/>
    <row r="992" customFormat="1" ht="15.75" customHeight="1" x14ac:dyDescent="0.25"/>
    <row r="993" customFormat="1" ht="15.75" customHeight="1" x14ac:dyDescent="0.25"/>
    <row r="994" customFormat="1" ht="15.75" customHeight="1" x14ac:dyDescent="0.25"/>
    <row r="995" customFormat="1" ht="15.75" customHeight="1" x14ac:dyDescent="0.25"/>
    <row r="996" customFormat="1" ht="15.75" customHeight="1" x14ac:dyDescent="0.25"/>
    <row r="997" customFormat="1" ht="15.75" customHeight="1" x14ac:dyDescent="0.25"/>
    <row r="998" customFormat="1" ht="15.75" customHeight="1" x14ac:dyDescent="0.25"/>
    <row r="999" customFormat="1" ht="15.75" customHeight="1" x14ac:dyDescent="0.25"/>
    <row r="1000" customFormat="1" ht="15.75" customHeight="1" x14ac:dyDescent="0.2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C5706-1C38-4B4C-9976-AAE8CEE311FF}">
  <dimension ref="A1:L1000"/>
  <sheetViews>
    <sheetView tabSelected="1" zoomScale="79" workbookViewId="0">
      <selection activeCell="O10" sqref="O10"/>
    </sheetView>
  </sheetViews>
  <sheetFormatPr defaultColWidth="12.6640625" defaultRowHeight="13.2" x14ac:dyDescent="0.25"/>
  <cols>
    <col min="2" max="2" width="15.33203125" customWidth="1"/>
    <col min="3" max="3" width="13.6640625" customWidth="1"/>
    <col min="7" max="7" width="13.44140625" customWidth="1"/>
    <col min="9" max="9" width="17.5546875" customWidth="1"/>
    <col min="12" max="12" width="21.88671875" customWidth="1"/>
  </cols>
  <sheetData>
    <row r="1" spans="1:12" ht="15.75" customHeight="1" x14ac:dyDescent="0.25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16" t="s">
        <v>117</v>
      </c>
      <c r="H1" s="19" t="s">
        <v>122</v>
      </c>
      <c r="I1" s="19" t="s">
        <v>123</v>
      </c>
      <c r="J1" s="19" t="s">
        <v>124</v>
      </c>
      <c r="L1" s="10"/>
    </row>
    <row r="2" spans="1:12" ht="15.75" customHeight="1" x14ac:dyDescent="0.25">
      <c r="A2" s="7" t="s">
        <v>23</v>
      </c>
      <c r="B2" s="7" t="s">
        <v>24</v>
      </c>
      <c r="C2" s="7" t="s">
        <v>25</v>
      </c>
      <c r="D2" s="13">
        <v>1000</v>
      </c>
      <c r="E2" s="7">
        <v>30</v>
      </c>
      <c r="F2" s="7" t="s">
        <v>26</v>
      </c>
      <c r="G2" s="13" t="str">
        <f>IF(D2&gt;=500,"High Price","Low Price")</f>
        <v>High Price</v>
      </c>
      <c r="H2" s="18" t="str">
        <f>LEFT(Table3[[#This Row],[Product ID]],2)</f>
        <v>28</v>
      </c>
      <c r="I2" s="18" t="str">
        <f>RIGHT(Table3[[#This Row],[Product ID]],2)</f>
        <v>US</v>
      </c>
      <c r="J2" s="18" t="str">
        <f>MID(Table3[[#This Row],[Product ID]],4,3)</f>
        <v>JAN</v>
      </c>
    </row>
    <row r="3" spans="1:12" ht="15.75" customHeight="1" x14ac:dyDescent="0.25">
      <c r="A3" s="8" t="s">
        <v>27</v>
      </c>
      <c r="B3" s="8" t="s">
        <v>28</v>
      </c>
      <c r="C3" s="8" t="s">
        <v>29</v>
      </c>
      <c r="D3" s="8">
        <v>80</v>
      </c>
      <c r="E3" s="8">
        <v>15</v>
      </c>
      <c r="F3" s="8" t="s">
        <v>30</v>
      </c>
      <c r="G3" s="13" t="str">
        <f t="shared" ref="G3:G35" si="0">IF(D3&gt;=500,"High Price","Low Price")</f>
        <v>Low Price</v>
      </c>
      <c r="H3" s="18" t="str">
        <f>LEFT(Table3[[#This Row],[Product ID]],2)</f>
        <v>15</v>
      </c>
      <c r="I3" s="18" t="str">
        <f>RIGHT(Table3[[#This Row],[Product ID]],2)</f>
        <v>US</v>
      </c>
      <c r="J3" s="18" t="str">
        <f>MID(Table3[[#This Row],[Product ID]],4,3)</f>
        <v>FEB</v>
      </c>
      <c r="L3" s="12"/>
    </row>
    <row r="4" spans="1:12" ht="15.75" customHeight="1" x14ac:dyDescent="0.25">
      <c r="A4" s="7" t="s">
        <v>31</v>
      </c>
      <c r="B4" s="7" t="s">
        <v>32</v>
      </c>
      <c r="C4" s="7" t="s">
        <v>33</v>
      </c>
      <c r="D4" s="7">
        <v>130</v>
      </c>
      <c r="E4" s="7">
        <v>40</v>
      </c>
      <c r="F4" s="7" t="s">
        <v>34</v>
      </c>
      <c r="G4" s="13" t="str">
        <f t="shared" si="0"/>
        <v>Low Price</v>
      </c>
      <c r="H4" s="18" t="str">
        <f>LEFT(Table3[[#This Row],[Product ID]],2)</f>
        <v>03</v>
      </c>
      <c r="I4" s="18" t="str">
        <f>RIGHT(Table3[[#This Row],[Product ID]],2)</f>
        <v>US</v>
      </c>
      <c r="J4" s="18" t="str">
        <f>MID(Table3[[#This Row],[Product ID]],4,3)</f>
        <v>MAR</v>
      </c>
      <c r="L4" s="14"/>
    </row>
    <row r="5" spans="1:12" ht="15.75" customHeight="1" x14ac:dyDescent="0.25">
      <c r="A5" s="8" t="s">
        <v>35</v>
      </c>
      <c r="B5" s="8" t="s">
        <v>36</v>
      </c>
      <c r="C5" s="8" t="s">
        <v>37</v>
      </c>
      <c r="D5" s="8">
        <v>900</v>
      </c>
      <c r="E5" s="8">
        <v>25</v>
      </c>
      <c r="F5" s="8" t="s">
        <v>26</v>
      </c>
      <c r="G5" s="13" t="str">
        <f t="shared" si="0"/>
        <v>High Price</v>
      </c>
      <c r="H5" s="18" t="str">
        <f>LEFT(Table3[[#This Row],[Product ID]],2)</f>
        <v>11</v>
      </c>
      <c r="I5" s="18" t="str">
        <f>RIGHT(Table3[[#This Row],[Product ID]],2)</f>
        <v>US</v>
      </c>
      <c r="J5" s="18" t="str">
        <f>MID(Table3[[#This Row],[Product ID]],4,3)</f>
        <v>APR</v>
      </c>
      <c r="L5" s="11"/>
    </row>
    <row r="6" spans="1:12" ht="15.75" customHeight="1" x14ac:dyDescent="0.25">
      <c r="A6" s="7" t="s">
        <v>38</v>
      </c>
      <c r="B6" s="7" t="s">
        <v>39</v>
      </c>
      <c r="C6" s="7" t="s">
        <v>40</v>
      </c>
      <c r="D6" s="7">
        <v>70</v>
      </c>
      <c r="E6" s="7">
        <v>20</v>
      </c>
      <c r="F6" s="7" t="s">
        <v>41</v>
      </c>
      <c r="G6" s="13" t="str">
        <f t="shared" si="0"/>
        <v>Low Price</v>
      </c>
      <c r="H6" s="18" t="str">
        <f>LEFT(Table3[[#This Row],[Product ID]],2)</f>
        <v>22</v>
      </c>
      <c r="I6" s="18" t="str">
        <f>RIGHT(Table3[[#This Row],[Product ID]],2)</f>
        <v>US</v>
      </c>
      <c r="J6" s="18" t="str">
        <f>MID(Table3[[#This Row],[Product ID]],4,3)</f>
        <v>MAY</v>
      </c>
      <c r="L6" s="11"/>
    </row>
    <row r="7" spans="1:12" ht="15.75" customHeight="1" x14ac:dyDescent="0.25">
      <c r="A7" s="8" t="s">
        <v>42</v>
      </c>
      <c r="B7" s="8" t="s">
        <v>43</v>
      </c>
      <c r="C7" s="8" t="s">
        <v>44</v>
      </c>
      <c r="D7" s="8">
        <v>200</v>
      </c>
      <c r="E7" s="8">
        <v>45</v>
      </c>
      <c r="F7" s="8" t="s">
        <v>26</v>
      </c>
      <c r="G7" s="13" t="str">
        <f t="shared" si="0"/>
        <v>Low Price</v>
      </c>
      <c r="H7" s="18" t="str">
        <f>LEFT(Table3[[#This Row],[Product ID]],2)</f>
        <v>07</v>
      </c>
      <c r="I7" s="18" t="str">
        <f>RIGHT(Table3[[#This Row],[Product ID]],2)</f>
        <v>UK</v>
      </c>
      <c r="J7" s="18" t="str">
        <f>MID(Table3[[#This Row],[Product ID]],4,3)</f>
        <v>JUN</v>
      </c>
    </row>
    <row r="8" spans="1:12" ht="15.75" customHeight="1" x14ac:dyDescent="0.25">
      <c r="A8" s="7" t="s">
        <v>45</v>
      </c>
      <c r="B8" s="7" t="s">
        <v>46</v>
      </c>
      <c r="C8" s="7" t="s">
        <v>47</v>
      </c>
      <c r="D8" s="7">
        <v>30</v>
      </c>
      <c r="E8" s="7">
        <v>5</v>
      </c>
      <c r="F8" s="7" t="s">
        <v>30</v>
      </c>
      <c r="G8" s="13" t="str">
        <f t="shared" si="0"/>
        <v>Low Price</v>
      </c>
      <c r="H8" s="18" t="str">
        <f>LEFT(Table3[[#This Row],[Product ID]],2)</f>
        <v>19</v>
      </c>
      <c r="I8" s="18" t="str">
        <f>RIGHT(Table3[[#This Row],[Product ID]],2)</f>
        <v>UK</v>
      </c>
      <c r="J8" s="18" t="str">
        <f>MID(Table3[[#This Row],[Product ID]],4,3)</f>
        <v>JUL</v>
      </c>
      <c r="L8" s="15"/>
    </row>
    <row r="9" spans="1:12" ht="15.75" customHeight="1" x14ac:dyDescent="0.25">
      <c r="A9" s="8" t="s">
        <v>48</v>
      </c>
      <c r="B9" s="8" t="s">
        <v>49</v>
      </c>
      <c r="C9" s="8" t="s">
        <v>50</v>
      </c>
      <c r="D9" s="8">
        <v>90</v>
      </c>
      <c r="E9" s="8">
        <v>35</v>
      </c>
      <c r="F9" s="8" t="s">
        <v>34</v>
      </c>
      <c r="G9" s="13" t="str">
        <f t="shared" si="0"/>
        <v>Low Price</v>
      </c>
      <c r="H9" s="18" t="str">
        <f>LEFT(Table3[[#This Row],[Product ID]],2)</f>
        <v>23</v>
      </c>
      <c r="I9" s="18" t="str">
        <f>RIGHT(Table3[[#This Row],[Product ID]],2)</f>
        <v>UK</v>
      </c>
      <c r="J9" s="18" t="str">
        <f>MID(Table3[[#This Row],[Product ID]],4,3)</f>
        <v>AUG</v>
      </c>
      <c r="L9" s="11"/>
    </row>
    <row r="10" spans="1:12" ht="15.75" customHeight="1" x14ac:dyDescent="0.25">
      <c r="A10" s="7" t="s">
        <v>51</v>
      </c>
      <c r="B10" s="7" t="s">
        <v>52</v>
      </c>
      <c r="C10" s="7" t="s">
        <v>53</v>
      </c>
      <c r="D10" s="7">
        <v>500</v>
      </c>
      <c r="E10" s="7">
        <v>50</v>
      </c>
      <c r="F10" s="7" t="s">
        <v>26</v>
      </c>
      <c r="G10" s="13" t="str">
        <f t="shared" si="0"/>
        <v>High Price</v>
      </c>
      <c r="H10" s="18" t="str">
        <f>LEFT(Table3[[#This Row],[Product ID]],2)</f>
        <v>05</v>
      </c>
      <c r="I10" s="18" t="str">
        <f>RIGHT(Table3[[#This Row],[Product ID]],2)</f>
        <v>UK</v>
      </c>
      <c r="J10" s="18" t="str">
        <f>MID(Table3[[#This Row],[Product ID]],4,3)</f>
        <v>SEP</v>
      </c>
      <c r="L10" s="11"/>
    </row>
    <row r="11" spans="1:12" ht="15.75" customHeight="1" x14ac:dyDescent="0.25">
      <c r="A11" s="8" t="s">
        <v>54</v>
      </c>
      <c r="B11" s="8" t="s">
        <v>55</v>
      </c>
      <c r="C11" s="8" t="s">
        <v>56</v>
      </c>
      <c r="D11" s="8">
        <v>130</v>
      </c>
      <c r="E11" s="8">
        <v>10</v>
      </c>
      <c r="F11" s="8" t="s">
        <v>41</v>
      </c>
      <c r="G11" s="13" t="str">
        <f t="shared" si="0"/>
        <v>Low Price</v>
      </c>
      <c r="H11" s="18" t="str">
        <f>LEFT(Table3[[#This Row],[Product ID]],2)</f>
        <v>14</v>
      </c>
      <c r="I11" s="18" t="str">
        <f>RIGHT(Table3[[#This Row],[Product ID]],2)</f>
        <v>UK</v>
      </c>
      <c r="J11" s="18" t="str">
        <f>MID(Table3[[#This Row],[Product ID]],4,3)</f>
        <v>OCT</v>
      </c>
    </row>
    <row r="12" spans="1:12" ht="15.75" customHeight="1" x14ac:dyDescent="0.25">
      <c r="A12" s="7" t="s">
        <v>57</v>
      </c>
      <c r="B12" s="7" t="s">
        <v>24</v>
      </c>
      <c r="C12" s="7" t="s">
        <v>58</v>
      </c>
      <c r="D12" s="7">
        <v>950</v>
      </c>
      <c r="E12" s="7">
        <v>25</v>
      </c>
      <c r="F12" s="7" t="s">
        <v>26</v>
      </c>
      <c r="G12" s="13" t="str">
        <f t="shared" si="0"/>
        <v>High Price</v>
      </c>
      <c r="H12" s="18" t="str">
        <f>LEFT(Table3[[#This Row],[Product ID]],2)</f>
        <v>17</v>
      </c>
      <c r="I12" s="18" t="str">
        <f>RIGHT(Table3[[#This Row],[Product ID]],2)</f>
        <v>IN</v>
      </c>
      <c r="J12" s="18" t="str">
        <f>MID(Table3[[#This Row],[Product ID]],4,3)</f>
        <v>JUN</v>
      </c>
    </row>
    <row r="13" spans="1:12" ht="15.75" customHeight="1" x14ac:dyDescent="0.25">
      <c r="A13" s="8" t="s">
        <v>59</v>
      </c>
      <c r="B13" s="8" t="s">
        <v>28</v>
      </c>
      <c r="C13" s="8" t="s">
        <v>47</v>
      </c>
      <c r="D13" s="8">
        <v>90</v>
      </c>
      <c r="E13" s="8">
        <v>40</v>
      </c>
      <c r="F13" s="8" t="s">
        <v>30</v>
      </c>
      <c r="G13" s="13" t="str">
        <f t="shared" si="0"/>
        <v>Low Price</v>
      </c>
      <c r="H13" s="18" t="str">
        <f>LEFT(Table3[[#This Row],[Product ID]],2)</f>
        <v>25</v>
      </c>
      <c r="I13" s="18" t="str">
        <f>RIGHT(Table3[[#This Row],[Product ID]],2)</f>
        <v>AU</v>
      </c>
      <c r="J13" s="18" t="str">
        <f>MID(Table3[[#This Row],[Product ID]],4,3)</f>
        <v>NOV</v>
      </c>
      <c r="L13" s="15"/>
    </row>
    <row r="14" spans="1:12" ht="15.75" customHeight="1" x14ac:dyDescent="0.25">
      <c r="A14" s="7" t="s">
        <v>60</v>
      </c>
      <c r="B14" s="7" t="s">
        <v>32</v>
      </c>
      <c r="C14" s="7" t="s">
        <v>61</v>
      </c>
      <c r="D14" s="7">
        <v>120</v>
      </c>
      <c r="E14" s="7">
        <v>35</v>
      </c>
      <c r="F14" s="7" t="s">
        <v>34</v>
      </c>
      <c r="G14" s="13" t="str">
        <f t="shared" si="0"/>
        <v>Low Price</v>
      </c>
      <c r="H14" s="18" t="str">
        <f>LEFT(Table3[[#This Row],[Product ID]],2)</f>
        <v>08</v>
      </c>
      <c r="I14" s="18" t="str">
        <f>RIGHT(Table3[[#This Row],[Product ID]],2)</f>
        <v>DE</v>
      </c>
      <c r="J14" s="18" t="str">
        <f>MID(Table3[[#This Row],[Product ID]],4,3)</f>
        <v>DEC</v>
      </c>
      <c r="L14" s="17"/>
    </row>
    <row r="15" spans="1:12" ht="15.75" customHeight="1" x14ac:dyDescent="0.25">
      <c r="A15" s="8" t="s">
        <v>62</v>
      </c>
      <c r="B15" s="8" t="s">
        <v>63</v>
      </c>
      <c r="C15" s="8" t="s">
        <v>64</v>
      </c>
      <c r="D15" s="8">
        <v>150</v>
      </c>
      <c r="E15" s="8">
        <v>15</v>
      </c>
      <c r="F15" s="8" t="s">
        <v>26</v>
      </c>
      <c r="G15" s="13" t="str">
        <f t="shared" si="0"/>
        <v>Low Price</v>
      </c>
      <c r="H15" s="18" t="str">
        <f>LEFT(Table3[[#This Row],[Product ID]],2)</f>
        <v>18</v>
      </c>
      <c r="I15" s="18" t="str">
        <f>RIGHT(Table3[[#This Row],[Product ID]],2)</f>
        <v>CA</v>
      </c>
      <c r="J15" s="18" t="str">
        <f>MID(Table3[[#This Row],[Product ID]],4,3)</f>
        <v>FEB</v>
      </c>
      <c r="L15" s="11"/>
    </row>
    <row r="16" spans="1:12" ht="15.75" customHeight="1" x14ac:dyDescent="0.25">
      <c r="A16" s="7" t="s">
        <v>65</v>
      </c>
      <c r="B16" s="7" t="s">
        <v>43</v>
      </c>
      <c r="C16" s="7" t="s">
        <v>66</v>
      </c>
      <c r="D16" s="7">
        <v>250</v>
      </c>
      <c r="E16" s="7">
        <v>20</v>
      </c>
      <c r="F16" s="7" t="s">
        <v>26</v>
      </c>
      <c r="G16" s="13" t="str">
        <f t="shared" si="0"/>
        <v>Low Price</v>
      </c>
      <c r="H16" s="18" t="str">
        <f>LEFT(Table3[[#This Row],[Product ID]],2)</f>
        <v>16</v>
      </c>
      <c r="I16" s="18" t="str">
        <f>RIGHT(Table3[[#This Row],[Product ID]],2)</f>
        <v>ES</v>
      </c>
      <c r="J16" s="18" t="str">
        <f>MID(Table3[[#This Row],[Product ID]],4,3)</f>
        <v>APR</v>
      </c>
    </row>
    <row r="17" spans="1:10" ht="15.75" customHeight="1" x14ac:dyDescent="0.25">
      <c r="A17" s="8" t="s">
        <v>67</v>
      </c>
      <c r="B17" s="8" t="s">
        <v>68</v>
      </c>
      <c r="C17" s="8" t="s">
        <v>69</v>
      </c>
      <c r="D17" s="8">
        <v>50</v>
      </c>
      <c r="E17" s="8">
        <v>35</v>
      </c>
      <c r="F17" s="8" t="s">
        <v>70</v>
      </c>
      <c r="G17" s="13" t="str">
        <f t="shared" si="0"/>
        <v>Low Price</v>
      </c>
      <c r="H17" s="18" t="str">
        <f>LEFT(Table3[[#This Row],[Product ID]],2)</f>
        <v>21</v>
      </c>
      <c r="I17" s="18" t="str">
        <f>RIGHT(Table3[[#This Row],[Product ID]],2)</f>
        <v>CA</v>
      </c>
      <c r="J17" s="18" t="str">
        <f>MID(Table3[[#This Row],[Product ID]],4,3)</f>
        <v>AUG</v>
      </c>
    </row>
    <row r="18" spans="1:10" ht="15.75" customHeight="1" x14ac:dyDescent="0.25">
      <c r="A18" s="7" t="s">
        <v>71</v>
      </c>
      <c r="B18" s="7" t="s">
        <v>63</v>
      </c>
      <c r="C18" s="7" t="s">
        <v>72</v>
      </c>
      <c r="D18" s="7">
        <v>160</v>
      </c>
      <c r="E18" s="7">
        <v>15</v>
      </c>
      <c r="F18" s="7" t="s">
        <v>26</v>
      </c>
      <c r="G18" s="13" t="str">
        <f t="shared" si="0"/>
        <v>Low Price</v>
      </c>
      <c r="H18" s="18" t="str">
        <f>LEFT(Table3[[#This Row],[Product ID]],2)</f>
        <v>20</v>
      </c>
      <c r="I18" s="18" t="str">
        <f>RIGHT(Table3[[#This Row],[Product ID]],2)</f>
        <v>CN</v>
      </c>
      <c r="J18" s="18" t="str">
        <f>MID(Table3[[#This Row],[Product ID]],4,3)</f>
        <v>AUG</v>
      </c>
    </row>
    <row r="19" spans="1:10" ht="15.75" customHeight="1" x14ac:dyDescent="0.25">
      <c r="A19" s="8" t="s">
        <v>73</v>
      </c>
      <c r="B19" s="8" t="s">
        <v>24</v>
      </c>
      <c r="C19" s="8" t="s">
        <v>74</v>
      </c>
      <c r="D19" s="8">
        <v>980</v>
      </c>
      <c r="E19" s="8">
        <v>10</v>
      </c>
      <c r="F19" s="8" t="s">
        <v>26</v>
      </c>
      <c r="G19" s="13" t="str">
        <f t="shared" si="0"/>
        <v>High Price</v>
      </c>
      <c r="H19" s="18" t="str">
        <f>LEFT(Table3[[#This Row],[Product ID]],2)</f>
        <v>27</v>
      </c>
      <c r="I19" s="18" t="str">
        <f>RIGHT(Table3[[#This Row],[Product ID]],2)</f>
        <v>IT</v>
      </c>
      <c r="J19" s="18" t="str">
        <f>MID(Table3[[#This Row],[Product ID]],4,3)</f>
        <v>JAN</v>
      </c>
    </row>
    <row r="20" spans="1:10" ht="15.75" customHeight="1" x14ac:dyDescent="0.25">
      <c r="A20" s="7" t="s">
        <v>75</v>
      </c>
      <c r="B20" s="7" t="s">
        <v>76</v>
      </c>
      <c r="C20" s="7" t="s">
        <v>77</v>
      </c>
      <c r="D20" s="7">
        <v>150</v>
      </c>
      <c r="E20" s="7">
        <v>15</v>
      </c>
      <c r="F20" s="7" t="s">
        <v>30</v>
      </c>
      <c r="G20" s="13" t="str">
        <f t="shared" si="0"/>
        <v>Low Price</v>
      </c>
      <c r="H20" s="18" t="str">
        <f>LEFT(Table3[[#This Row],[Product ID]],2)</f>
        <v>01</v>
      </c>
      <c r="I20" s="18" t="str">
        <f>RIGHT(Table3[[#This Row],[Product ID]],2)</f>
        <v>UK</v>
      </c>
      <c r="J20" s="18" t="str">
        <f>MID(Table3[[#This Row],[Product ID]],4,3)</f>
        <v>MAR</v>
      </c>
    </row>
    <row r="21" spans="1:10" ht="15.75" customHeight="1" x14ac:dyDescent="0.25">
      <c r="A21" s="8" t="s">
        <v>78</v>
      </c>
      <c r="B21" s="8" t="s">
        <v>79</v>
      </c>
      <c r="C21" s="8" t="s">
        <v>80</v>
      </c>
      <c r="D21" s="8">
        <v>200</v>
      </c>
      <c r="E21" s="8">
        <v>10</v>
      </c>
      <c r="F21" s="8" t="s">
        <v>41</v>
      </c>
      <c r="G21" s="13" t="str">
        <f t="shared" si="0"/>
        <v>Low Price</v>
      </c>
      <c r="H21" s="18" t="str">
        <f>LEFT(Table3[[#This Row],[Product ID]],2)</f>
        <v>14</v>
      </c>
      <c r="I21" s="18" t="str">
        <f>RIGHT(Table3[[#This Row],[Product ID]],2)</f>
        <v>US</v>
      </c>
      <c r="J21" s="18" t="str">
        <f>MID(Table3[[#This Row],[Product ID]],4,3)</f>
        <v>AUG</v>
      </c>
    </row>
    <row r="22" spans="1:10" ht="15.75" customHeight="1" x14ac:dyDescent="0.25">
      <c r="A22" s="7" t="s">
        <v>81</v>
      </c>
      <c r="B22" s="7" t="s">
        <v>82</v>
      </c>
      <c r="C22" s="7" t="s">
        <v>83</v>
      </c>
      <c r="D22" s="7">
        <v>700</v>
      </c>
      <c r="E22" s="7">
        <v>50</v>
      </c>
      <c r="F22" s="7" t="s">
        <v>26</v>
      </c>
      <c r="G22" s="13" t="str">
        <f t="shared" si="0"/>
        <v>High Price</v>
      </c>
      <c r="H22" s="18" t="str">
        <f>LEFT(Table3[[#This Row],[Product ID]],2)</f>
        <v>14</v>
      </c>
      <c r="I22" s="18" t="str">
        <f>RIGHT(Table3[[#This Row],[Product ID]],2)</f>
        <v>RU</v>
      </c>
      <c r="J22" s="18" t="str">
        <f>MID(Table3[[#This Row],[Product ID]],4,3)</f>
        <v>MAY</v>
      </c>
    </row>
    <row r="23" spans="1:10" ht="15.75" customHeight="1" x14ac:dyDescent="0.25">
      <c r="A23" s="8" t="s">
        <v>84</v>
      </c>
      <c r="B23" s="8" t="s">
        <v>85</v>
      </c>
      <c r="C23" s="8" t="s">
        <v>86</v>
      </c>
      <c r="D23" s="8">
        <v>80</v>
      </c>
      <c r="E23" s="8">
        <v>20</v>
      </c>
      <c r="F23" s="8" t="s">
        <v>34</v>
      </c>
      <c r="G23" s="13" t="str">
        <f t="shared" si="0"/>
        <v>Low Price</v>
      </c>
      <c r="H23" s="18" t="str">
        <f>LEFT(Table3[[#This Row],[Product ID]],2)</f>
        <v>09</v>
      </c>
      <c r="I23" s="18" t="str">
        <f>RIGHT(Table3[[#This Row],[Product ID]],2)</f>
        <v>CA</v>
      </c>
      <c r="J23" s="18" t="str">
        <f>MID(Table3[[#This Row],[Product ID]],4,3)</f>
        <v>JAN</v>
      </c>
    </row>
    <row r="24" spans="1:10" ht="15.75" customHeight="1" x14ac:dyDescent="0.25">
      <c r="A24" s="7" t="s">
        <v>87</v>
      </c>
      <c r="B24" s="7" t="s">
        <v>88</v>
      </c>
      <c r="C24" s="7" t="s">
        <v>89</v>
      </c>
      <c r="D24" s="7">
        <v>150</v>
      </c>
      <c r="E24" s="7">
        <v>30</v>
      </c>
      <c r="F24" s="7" t="s">
        <v>26</v>
      </c>
      <c r="G24" s="13" t="str">
        <f t="shared" si="0"/>
        <v>Low Price</v>
      </c>
      <c r="H24" s="18" t="str">
        <f>LEFT(Table3[[#This Row],[Product ID]],2)</f>
        <v>19</v>
      </c>
      <c r="I24" s="18" t="str">
        <f>RIGHT(Table3[[#This Row],[Product ID]],2)</f>
        <v>BR</v>
      </c>
      <c r="J24" s="18" t="str">
        <f>MID(Table3[[#This Row],[Product ID]],4,3)</f>
        <v>JUL</v>
      </c>
    </row>
    <row r="25" spans="1:10" ht="15.75" customHeight="1" x14ac:dyDescent="0.25">
      <c r="A25" s="8" t="s">
        <v>67</v>
      </c>
      <c r="B25" s="8" t="s">
        <v>68</v>
      </c>
      <c r="C25" s="8" t="s">
        <v>69</v>
      </c>
      <c r="D25" s="8">
        <v>50</v>
      </c>
      <c r="E25" s="8">
        <v>35</v>
      </c>
      <c r="F25" s="8" t="s">
        <v>70</v>
      </c>
      <c r="G25" s="13" t="str">
        <f t="shared" si="0"/>
        <v>Low Price</v>
      </c>
      <c r="H25" s="18" t="str">
        <f>LEFT(Table3[[#This Row],[Product ID]],2)</f>
        <v>21</v>
      </c>
      <c r="I25" s="18" t="str">
        <f>RIGHT(Table3[[#This Row],[Product ID]],2)</f>
        <v>CA</v>
      </c>
      <c r="J25" s="18" t="str">
        <f>MID(Table3[[#This Row],[Product ID]],4,3)</f>
        <v>AUG</v>
      </c>
    </row>
    <row r="26" spans="1:10" ht="15.75" customHeight="1" x14ac:dyDescent="0.25">
      <c r="A26" s="7" t="s">
        <v>90</v>
      </c>
      <c r="B26" s="7" t="s">
        <v>36</v>
      </c>
      <c r="C26" s="7" t="s">
        <v>91</v>
      </c>
      <c r="D26" s="7">
        <v>800</v>
      </c>
      <c r="E26" s="7">
        <v>45</v>
      </c>
      <c r="F26" s="7" t="s">
        <v>26</v>
      </c>
      <c r="G26" s="13" t="str">
        <f t="shared" si="0"/>
        <v>High Price</v>
      </c>
      <c r="H26" s="18" t="str">
        <f>LEFT(Table3[[#This Row],[Product ID]],2)</f>
        <v>29</v>
      </c>
      <c r="I26" s="18" t="str">
        <f>RIGHT(Table3[[#This Row],[Product ID]],2)</f>
        <v>CA</v>
      </c>
      <c r="J26" s="18" t="str">
        <f>MID(Table3[[#This Row],[Product ID]],4,3)</f>
        <v>SEP</v>
      </c>
    </row>
    <row r="27" spans="1:10" ht="15.75" customHeight="1" x14ac:dyDescent="0.25">
      <c r="A27" s="8" t="s">
        <v>92</v>
      </c>
      <c r="B27" s="8" t="s">
        <v>76</v>
      </c>
      <c r="C27" s="8" t="s">
        <v>93</v>
      </c>
      <c r="D27" s="8">
        <v>130</v>
      </c>
      <c r="E27" s="8">
        <v>25</v>
      </c>
      <c r="F27" s="8" t="s">
        <v>30</v>
      </c>
      <c r="G27" s="13" t="str">
        <f t="shared" si="0"/>
        <v>Low Price</v>
      </c>
      <c r="H27" s="18" t="str">
        <f>LEFT(Table3[[#This Row],[Product ID]],2)</f>
        <v>03</v>
      </c>
      <c r="I27" s="18" t="str">
        <f>RIGHT(Table3[[#This Row],[Product ID]],2)</f>
        <v>CA</v>
      </c>
      <c r="J27" s="18" t="str">
        <f>MID(Table3[[#This Row],[Product ID]],4,3)</f>
        <v>JUN</v>
      </c>
    </row>
    <row r="28" spans="1:10" ht="15.75" customHeight="1" x14ac:dyDescent="0.25">
      <c r="A28" s="7" t="s">
        <v>94</v>
      </c>
      <c r="B28" s="7" t="s">
        <v>49</v>
      </c>
      <c r="C28" s="7" t="s">
        <v>95</v>
      </c>
      <c r="D28" s="7">
        <v>400</v>
      </c>
      <c r="E28" s="7">
        <v>40</v>
      </c>
      <c r="F28" s="7" t="s">
        <v>34</v>
      </c>
      <c r="G28" s="13" t="str">
        <f t="shared" si="0"/>
        <v>Low Price</v>
      </c>
      <c r="H28" s="18" t="str">
        <f>LEFT(Table3[[#This Row],[Product ID]],2)</f>
        <v>11</v>
      </c>
      <c r="I28" s="18" t="str">
        <f>RIGHT(Table3[[#This Row],[Product ID]],2)</f>
        <v>CA</v>
      </c>
      <c r="J28" s="18" t="str">
        <f>MID(Table3[[#This Row],[Product ID]],4,3)</f>
        <v>JUL</v>
      </c>
    </row>
    <row r="29" spans="1:10" ht="15.75" customHeight="1" x14ac:dyDescent="0.25">
      <c r="A29" s="8" t="s">
        <v>65</v>
      </c>
      <c r="B29" s="8" t="s">
        <v>43</v>
      </c>
      <c r="C29" s="8" t="s">
        <v>66</v>
      </c>
      <c r="D29" s="8">
        <v>230</v>
      </c>
      <c r="E29" s="8">
        <v>20</v>
      </c>
      <c r="F29" s="8" t="s">
        <v>26</v>
      </c>
      <c r="G29" s="13" t="str">
        <f t="shared" si="0"/>
        <v>Low Price</v>
      </c>
      <c r="H29" s="18" t="str">
        <f>LEFT(Table3[[#This Row],[Product ID]],2)</f>
        <v>16</v>
      </c>
      <c r="I29" s="18" t="str">
        <f>RIGHT(Table3[[#This Row],[Product ID]],2)</f>
        <v>ES</v>
      </c>
      <c r="J29" s="18" t="str">
        <f>MID(Table3[[#This Row],[Product ID]],4,3)</f>
        <v>APR</v>
      </c>
    </row>
    <row r="30" spans="1:10" ht="15.75" customHeight="1" x14ac:dyDescent="0.25">
      <c r="A30" s="7" t="s">
        <v>96</v>
      </c>
      <c r="B30" s="7" t="s">
        <v>97</v>
      </c>
      <c r="C30" s="7" t="s">
        <v>98</v>
      </c>
      <c r="D30" s="7">
        <v>60</v>
      </c>
      <c r="E30" s="7">
        <v>30</v>
      </c>
      <c r="F30" s="7" t="s">
        <v>30</v>
      </c>
      <c r="G30" s="13" t="str">
        <f t="shared" si="0"/>
        <v>Low Price</v>
      </c>
      <c r="H30" s="18" t="str">
        <f>LEFT(Table3[[#This Row],[Product ID]],2)</f>
        <v>07</v>
      </c>
      <c r="I30" s="18" t="str">
        <f>RIGHT(Table3[[#This Row],[Product ID]],2)</f>
        <v>CA</v>
      </c>
      <c r="J30" s="18" t="str">
        <f>MID(Table3[[#This Row],[Product ID]],4,3)</f>
        <v>MAR</v>
      </c>
    </row>
    <row r="31" spans="1:10" ht="15.75" customHeight="1" x14ac:dyDescent="0.25">
      <c r="A31" s="8" t="s">
        <v>99</v>
      </c>
      <c r="B31" s="8" t="s">
        <v>100</v>
      </c>
      <c r="C31" s="8" t="s">
        <v>101</v>
      </c>
      <c r="D31" s="8">
        <v>40</v>
      </c>
      <c r="E31" s="8">
        <v>10</v>
      </c>
      <c r="F31" s="8" t="s">
        <v>34</v>
      </c>
      <c r="G31" s="13" t="str">
        <f t="shared" si="0"/>
        <v>Low Price</v>
      </c>
      <c r="H31" s="18" t="str">
        <f>LEFT(Table3[[#This Row],[Product ID]],2)</f>
        <v>13</v>
      </c>
      <c r="I31" s="18" t="str">
        <f>RIGHT(Table3[[#This Row],[Product ID]],2)</f>
        <v>CA</v>
      </c>
      <c r="J31" s="18" t="str">
        <f>MID(Table3[[#This Row],[Product ID]],4,3)</f>
        <v>APR</v>
      </c>
    </row>
    <row r="32" spans="1:10" ht="15.75" customHeight="1" x14ac:dyDescent="0.25">
      <c r="A32" s="7" t="s">
        <v>102</v>
      </c>
      <c r="B32" s="7" t="s">
        <v>88</v>
      </c>
      <c r="C32" s="7" t="s">
        <v>103</v>
      </c>
      <c r="D32" s="7">
        <v>130</v>
      </c>
      <c r="E32" s="7">
        <v>5</v>
      </c>
      <c r="F32" s="7" t="s">
        <v>26</v>
      </c>
      <c r="G32" s="13" t="str">
        <f t="shared" si="0"/>
        <v>Low Price</v>
      </c>
      <c r="H32" s="18" t="str">
        <f>LEFT(Table3[[#This Row],[Product ID]],2)</f>
        <v>24</v>
      </c>
      <c r="I32" s="18" t="str">
        <f>RIGHT(Table3[[#This Row],[Product ID]],2)</f>
        <v>CA</v>
      </c>
      <c r="J32" s="18" t="str">
        <f>MID(Table3[[#This Row],[Product ID]],4,3)</f>
        <v>MAY</v>
      </c>
    </row>
    <row r="33" spans="1:10" ht="15.75" customHeight="1" x14ac:dyDescent="0.25">
      <c r="A33" s="8" t="s">
        <v>104</v>
      </c>
      <c r="B33" s="8" t="s">
        <v>105</v>
      </c>
      <c r="C33" s="8" t="s">
        <v>106</v>
      </c>
      <c r="D33" s="8">
        <v>50</v>
      </c>
      <c r="E33" s="8">
        <v>50</v>
      </c>
      <c r="F33" s="8" t="s">
        <v>30</v>
      </c>
      <c r="G33" s="13" t="str">
        <f t="shared" si="0"/>
        <v>Low Price</v>
      </c>
      <c r="H33" s="18" t="str">
        <f>LEFT(Table3[[#This Row],[Product ID]],2)</f>
        <v>02</v>
      </c>
      <c r="I33" s="18" t="str">
        <f>RIGHT(Table3[[#This Row],[Product ID]],2)</f>
        <v>CA</v>
      </c>
      <c r="J33" s="18" t="str">
        <f>MID(Table3[[#This Row],[Product ID]],4,3)</f>
        <v>DEC</v>
      </c>
    </row>
    <row r="34" spans="1:10" ht="15.75" customHeight="1" x14ac:dyDescent="0.25">
      <c r="A34" s="7" t="s">
        <v>57</v>
      </c>
      <c r="B34" s="7" t="s">
        <v>24</v>
      </c>
      <c r="C34" s="7" t="s">
        <v>58</v>
      </c>
      <c r="D34" s="7">
        <v>950</v>
      </c>
      <c r="E34" s="7">
        <v>25</v>
      </c>
      <c r="F34" s="7" t="s">
        <v>26</v>
      </c>
      <c r="G34" s="13" t="str">
        <f t="shared" si="0"/>
        <v>High Price</v>
      </c>
      <c r="H34" s="18" t="str">
        <f>LEFT(Table3[[#This Row],[Product ID]],2)</f>
        <v>17</v>
      </c>
      <c r="I34" s="18" t="str">
        <f>RIGHT(Table3[[#This Row],[Product ID]],2)</f>
        <v>IN</v>
      </c>
      <c r="J34" s="18" t="str">
        <f>MID(Table3[[#This Row],[Product ID]],4,3)</f>
        <v>JUN</v>
      </c>
    </row>
    <row r="35" spans="1:10" ht="15.75" customHeight="1" x14ac:dyDescent="0.25">
      <c r="A35" s="8" t="s">
        <v>107</v>
      </c>
      <c r="B35" s="8" t="s">
        <v>108</v>
      </c>
      <c r="C35" s="8" t="s">
        <v>109</v>
      </c>
      <c r="D35" s="8">
        <v>100</v>
      </c>
      <c r="E35" s="8">
        <v>20</v>
      </c>
      <c r="F35" s="8" t="s">
        <v>70</v>
      </c>
      <c r="G35" s="13" t="str">
        <f t="shared" si="0"/>
        <v>Low Price</v>
      </c>
      <c r="H35" s="18" t="str">
        <f>LEFT(Table3[[#This Row],[Product ID]],2)</f>
        <v>09</v>
      </c>
      <c r="I35" s="18" t="str">
        <f>RIGHT(Table3[[#This Row],[Product ID]],2)</f>
        <v>FR</v>
      </c>
      <c r="J35" s="18" t="str">
        <f>MID(Table3[[#This Row],[Product ID]],4,3)</f>
        <v>JUL</v>
      </c>
    </row>
    <row r="36" spans="1:10" ht="15.75" customHeight="1" x14ac:dyDescent="0.25"/>
    <row r="37" spans="1:10" ht="15.75" customHeight="1" x14ac:dyDescent="0.25"/>
    <row r="38" spans="1:10" ht="15.75" customHeight="1" x14ac:dyDescent="0.25">
      <c r="I38" s="10" t="s">
        <v>125</v>
      </c>
    </row>
    <row r="39" spans="1:10" ht="15.75" customHeight="1" x14ac:dyDescent="0.25">
      <c r="I39" s="10" t="s">
        <v>110</v>
      </c>
    </row>
    <row r="40" spans="1:10" ht="15.75" customHeight="1" x14ac:dyDescent="0.25"/>
    <row r="41" spans="1:10" ht="15.75" customHeight="1" x14ac:dyDescent="0.25">
      <c r="I41" s="12" t="s">
        <v>111</v>
      </c>
    </row>
    <row r="42" spans="1:10" ht="15.75" customHeight="1" x14ac:dyDescent="0.25">
      <c r="I42" s="14" t="s">
        <v>120</v>
      </c>
    </row>
    <row r="43" spans="1:10" ht="15.75" customHeight="1" x14ac:dyDescent="0.25">
      <c r="I43" s="11" t="s">
        <v>112</v>
      </c>
    </row>
    <row r="44" spans="1:10" ht="15.75" customHeight="1" x14ac:dyDescent="0.25">
      <c r="I44" s="11" t="s">
        <v>113</v>
      </c>
    </row>
    <row r="45" spans="1:10" ht="15.75" customHeight="1" x14ac:dyDescent="0.25"/>
    <row r="46" spans="1:10" ht="15.75" customHeight="1" x14ac:dyDescent="0.25">
      <c r="I46" s="15" t="s">
        <v>114</v>
      </c>
    </row>
    <row r="47" spans="1:10" ht="15.75" customHeight="1" x14ac:dyDescent="0.25">
      <c r="I47" s="11" t="s">
        <v>115</v>
      </c>
    </row>
    <row r="48" spans="1:10" ht="15.75" customHeight="1" x14ac:dyDescent="0.25">
      <c r="I48" s="11" t="s">
        <v>116</v>
      </c>
    </row>
    <row r="49" spans="9:9" ht="15.75" customHeight="1" x14ac:dyDescent="0.25"/>
    <row r="50" spans="9:9" ht="15.75" customHeight="1" x14ac:dyDescent="0.25"/>
    <row r="51" spans="9:9" ht="15.75" customHeight="1" x14ac:dyDescent="0.25">
      <c r="I51" s="15" t="s">
        <v>118</v>
      </c>
    </row>
    <row r="52" spans="9:9" ht="15.75" customHeight="1" x14ac:dyDescent="0.25">
      <c r="I52" s="17" t="s">
        <v>119</v>
      </c>
    </row>
    <row r="53" spans="9:9" ht="15.75" customHeight="1" x14ac:dyDescent="0.25">
      <c r="I53" s="11" t="s">
        <v>121</v>
      </c>
    </row>
    <row r="54" spans="9:9" ht="15.75" customHeight="1" x14ac:dyDescent="0.25"/>
    <row r="55" spans="9:9" ht="15.75" customHeight="1" x14ac:dyDescent="0.25"/>
    <row r="56" spans="9:9" ht="15.75" customHeight="1" x14ac:dyDescent="0.25"/>
    <row r="57" spans="9:9" ht="15.75" customHeight="1" x14ac:dyDescent="0.25"/>
    <row r="58" spans="9:9" ht="15.75" customHeight="1" x14ac:dyDescent="0.25"/>
    <row r="59" spans="9:9" ht="15.75" customHeight="1" x14ac:dyDescent="0.25"/>
    <row r="60" spans="9:9" ht="15.75" customHeight="1" x14ac:dyDescent="0.25"/>
    <row r="61" spans="9:9" ht="15.75" customHeight="1" x14ac:dyDescent="0.25"/>
    <row r="62" spans="9:9" ht="15.75" customHeight="1" x14ac:dyDescent="0.25"/>
    <row r="63" spans="9:9" ht="15.75" customHeight="1" x14ac:dyDescent="0.25"/>
    <row r="64" spans="9:9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Dataset</vt:lpstr>
      <vt:lpstr>Answers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Seric Sunil</dc:creator>
  <cp:lastModifiedBy>sericsunil579@gmail.com</cp:lastModifiedBy>
  <dcterms:created xsi:type="dcterms:W3CDTF">2026-08-15T18:57:45Z</dcterms:created>
  <dcterms:modified xsi:type="dcterms:W3CDTF">2026-08-18T14:41:17Z</dcterms:modified>
</cp:coreProperties>
</file>