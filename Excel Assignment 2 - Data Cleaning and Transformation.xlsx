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a21252119cda1c/Data Analytics/Assignments/"/>
    </mc:Choice>
  </mc:AlternateContent>
  <xr:revisionPtr revIDLastSave="285" documentId="8_{2BCF8CEC-9ADA-4224-89BC-59B8AFC9499C}" xr6:coauthVersionLast="47" xr6:coauthVersionMax="47" xr10:uidLastSave="{CF5B295C-D4BB-403E-B17A-BA3F7FF299EF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Answ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I2" i="3" l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</calcChain>
</file>

<file path=xl/sharedStrings.xml><?xml version="1.0" encoding="utf-8"?>
<sst xmlns="http://schemas.openxmlformats.org/spreadsheetml/2006/main" count="321" uniqueCount="133">
  <si>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</si>
  <si>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</si>
  <si>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</si>
  <si>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</si>
  <si>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</si>
  <si>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</si>
  <si>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</si>
  <si>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</si>
  <si>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</si>
  <si>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</si>
  <si>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</si>
  <si>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</si>
  <si>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</si>
  <si>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</si>
  <si>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</si>
  <si>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</si>
  <si>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</si>
  <si>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</si>
  <si>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</si>
  <si>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</si>
  <si>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</si>
  <si>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</si>
  <si>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</si>
  <si>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</si>
  <si>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</si>
  <si>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</si>
  <si>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</si>
  <si>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</si>
  <si>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</si>
  <si>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</si>
  <si>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</si>
  <si>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</si>
  <si>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</si>
  <si>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</si>
  <si>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</si>
  <si>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</si>
  <si>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</si>
  <si>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</si>
  <si>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</si>
  <si>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</si>
  <si>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</si>
  <si>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</si>
  <si>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</si>
  <si>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</si>
  <si>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</si>
  <si>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</si>
  <si>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</si>
  <si>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</si>
  <si>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</si>
  <si>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</si>
  <si>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</si>
  <si>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</si>
  <si>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</si>
  <si>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</si>
  <si>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</si>
  <si>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</si>
  <si>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</si>
  <si>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</si>
  <si>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</si>
  <si>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</si>
  <si>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</si>
  <si>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</si>
  <si>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</si>
  <si>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</si>
  <si>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</si>
  <si>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</si>
  <si>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</si>
  <si>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</si>
  <si>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</si>
  <si>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</si>
  <si>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</si>
  <si>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</si>
  <si>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</si>
  <si>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</si>
  <si>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</si>
  <si>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</si>
  <si>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</si>
  <si>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</si>
  <si>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</si>
  <si>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</si>
  <si>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</si>
  <si>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</si>
  <si>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</si>
  <si>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</si>
  <si>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</si>
  <si>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</si>
  <si>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</si>
  <si>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</si>
  <si>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</si>
  <si>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</si>
  <si>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</si>
  <si>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</si>
  <si>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</si>
  <si>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</si>
  <si>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</si>
  <si>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</si>
  <si>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</si>
  <si>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</si>
  <si>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</si>
  <si>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</si>
  <si>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</si>
  <si>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</si>
  <si>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</si>
  <si>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</si>
  <si>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</si>
  <si>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</si>
  <si>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</si>
  <si>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</si>
  <si>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</si>
  <si>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</si>
  <si>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</si>
  <si>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</si>
  <si>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</si>
  <si>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</si>
  <si>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</si>
  <si>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</si>
  <si>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</si>
  <si>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</si>
  <si>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</si>
  <si>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</si>
  <si>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</si>
  <si>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</si>
  <si>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</si>
  <si>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</si>
  <si>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</si>
  <si>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</si>
  <si>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</si>
  <si>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</si>
  <si>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Country Code</t>
  </si>
  <si>
    <t>Product Brand</t>
  </si>
  <si>
    <t>Mnufacturing Date</t>
  </si>
  <si>
    <t>T-Shirt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</si>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</sst>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5C]#,##0.00"/>
  </numFmts>
  <fonts count="12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u/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 tint="0.79998168889431442"/>
        <bgColor rgb="FFE0F7FA"/>
      </patternFill>
    </fill>
    <fill>
      <patternFill patternType="solid">
        <fgColor theme="9" tint="0.79998168889431442"/>
        <bgColor rgb="FF4DD0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7" fillId="0" borderId="0" xfId="0" applyFont="1" applyAlignment="1">
      <alignment horizontal="center"/>
    </xf>
    <xf numFmtId="164" fontId="7" fillId="2" borderId="0" xfId="0" applyNumberFormat="1" applyFont="1" applyFill="1" applyAlignment="1">
      <alignment horizontal="center"/>
    </xf>
    <xf numFmtId="164" fontId="5" fillId="0" borderId="0" xfId="0" applyNumberFormat="1" applyFont="1"/>
    <xf numFmtId="164" fontId="5" fillId="3" borderId="0" xfId="0" applyNumberFormat="1" applyFont="1" applyFill="1"/>
    <xf numFmtId="164" fontId="0" fillId="0" borderId="0" xfId="0" applyNumberFormat="1"/>
    <xf numFmtId="14" fontId="9" fillId="2" borderId="0" xfId="0" applyNumberFormat="1" applyFont="1" applyFill="1" applyAlignment="1">
      <alignment horizontal="center"/>
    </xf>
    <xf numFmtId="14" fontId="0" fillId="0" borderId="0" xfId="0" applyNumberFormat="1"/>
    <xf numFmtId="0" fontId="7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/>
    <xf numFmtId="0" fontId="8" fillId="3" borderId="0" xfId="0" applyFont="1" applyFill="1"/>
    <xf numFmtId="0" fontId="8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8" fillId="4" borderId="0" xfId="0" applyFont="1" applyFill="1" applyAlignment="1">
      <alignment horizontal="left"/>
    </xf>
    <xf numFmtId="0" fontId="8" fillId="5" borderId="0" xfId="0" applyFont="1" applyFill="1" applyAlignment="1">
      <alignment horizontal="left"/>
    </xf>
    <xf numFmtId="164" fontId="0" fillId="0" borderId="0" xfId="0" applyNumberForma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theme="6" tint="0.79998168889431442"/>
      </font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zoomScale="96" workbookViewId="0">
      <selection activeCell="G4" sqref="G4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000"/>
  <sheetViews>
    <sheetView zoomScale="118" workbookViewId="0">
      <selection activeCell="G11" sqref="G11"/>
    </sheetView>
  </sheetViews>
  <sheetFormatPr defaultColWidth="12.6640625" defaultRowHeight="15" customHeight="1" x14ac:dyDescent="0.25"/>
  <cols>
    <col min="1" max="6" width="12.6640625" customWidth="1"/>
    <col min="7" max="7" width="18.21875" customWidth="1"/>
  </cols>
  <sheetData>
    <row r="1" spans="1:15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9"/>
      <c r="H1" s="9"/>
    </row>
    <row r="2" spans="1:15" ht="15.75" customHeight="1" x14ac:dyDescent="0.25">
      <c r="A2" s="18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5" ht="15.75" customHeight="1" x14ac:dyDescent="0.2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5"/>
      <c r="J3" s="5"/>
      <c r="K3" s="5"/>
      <c r="L3" s="5"/>
      <c r="M3" s="5"/>
      <c r="N3" s="5"/>
      <c r="O3" s="5"/>
    </row>
    <row r="4" spans="1:15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3"/>
      <c r="J4" s="5"/>
      <c r="K4" s="5"/>
      <c r="L4" s="5"/>
      <c r="M4" s="5"/>
      <c r="N4" s="5"/>
      <c r="O4" s="5"/>
    </row>
    <row r="5" spans="1:15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3"/>
      <c r="J5" s="5"/>
      <c r="K5" s="5"/>
      <c r="L5" s="5"/>
      <c r="M5" s="5"/>
      <c r="N5" s="5"/>
      <c r="O5" s="5"/>
    </row>
    <row r="6" spans="1:15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5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5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5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5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5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5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5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5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5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5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43EA5-CF00-4A63-BD96-58C8CA4A690C}">
  <dimension ref="A1:K39"/>
  <sheetViews>
    <sheetView tabSelected="1" zoomScale="121" workbookViewId="0">
      <selection activeCell="J2" sqref="J2"/>
    </sheetView>
  </sheetViews>
  <sheetFormatPr defaultRowHeight="13.2" x14ac:dyDescent="0.25"/>
  <cols>
    <col min="1" max="1" width="16.44140625" customWidth="1"/>
    <col min="2" max="2" width="17.6640625" customWidth="1"/>
    <col min="3" max="3" width="21.21875" customWidth="1"/>
    <col min="4" max="4" width="14" style="13" customWidth="1"/>
    <col min="5" max="5" width="12.44140625" customWidth="1"/>
    <col min="6" max="6" width="16.88671875" customWidth="1"/>
    <col min="7" max="7" width="18.88671875" style="15" customWidth="1"/>
    <col min="8" max="8" width="13.77734375" style="17" customWidth="1"/>
    <col min="9" max="9" width="21.6640625" customWidth="1"/>
  </cols>
  <sheetData>
    <row r="1" spans="1:11" x14ac:dyDescent="0.25">
      <c r="A1" s="7" t="s">
        <v>19</v>
      </c>
      <c r="B1" s="7" t="s">
        <v>20</v>
      </c>
      <c r="C1" s="7" t="s">
        <v>21</v>
      </c>
      <c r="D1" s="10" t="s">
        <v>22</v>
      </c>
      <c r="E1" s="7" t="s">
        <v>23</v>
      </c>
      <c r="F1" s="7" t="s">
        <v>24</v>
      </c>
      <c r="G1" s="14" t="s">
        <v>130</v>
      </c>
      <c r="H1" s="16" t="s">
        <v>128</v>
      </c>
      <c r="I1" s="7" t="s">
        <v>129</v>
      </c>
    </row>
    <row r="2" spans="1:11" x14ac:dyDescent="0.25">
      <c r="A2" s="5" t="s">
        <v>25</v>
      </c>
      <c r="B2" s="5" t="s">
        <v>61</v>
      </c>
      <c r="C2" s="5" t="s">
        <v>27</v>
      </c>
      <c r="D2" s="11">
        <v>1000</v>
      </c>
      <c r="E2" s="5">
        <v>30</v>
      </c>
      <c r="F2" s="20" t="s">
        <v>28</v>
      </c>
      <c r="G2" s="15">
        <v>45685</v>
      </c>
      <c r="H2" s="17" t="s">
        <v>116</v>
      </c>
      <c r="I2" t="str">
        <f>_xlfn.CONCAT(C2," ",B2)</f>
        <v>Dell Laptop</v>
      </c>
    </row>
    <row r="3" spans="1:11" x14ac:dyDescent="0.25">
      <c r="A3" s="8" t="s">
        <v>29</v>
      </c>
      <c r="B3" s="5" t="s">
        <v>30</v>
      </c>
      <c r="C3" s="8" t="s">
        <v>31</v>
      </c>
      <c r="D3" s="12">
        <v>80</v>
      </c>
      <c r="E3" s="8">
        <v>15</v>
      </c>
      <c r="F3" s="21" t="s">
        <v>32</v>
      </c>
      <c r="G3" s="15">
        <v>45703</v>
      </c>
      <c r="H3" s="17" t="s">
        <v>116</v>
      </c>
      <c r="I3" t="str">
        <f t="shared" ref="I3:I32" si="0">_xlfn.CONCAT(C3," ",B3)</f>
        <v>Nike Sneakers</v>
      </c>
    </row>
    <row r="4" spans="1:11" x14ac:dyDescent="0.25">
      <c r="A4" s="5" t="s">
        <v>33</v>
      </c>
      <c r="B4" s="5" t="s">
        <v>34</v>
      </c>
      <c r="C4" s="5" t="s">
        <v>35</v>
      </c>
      <c r="D4" s="11">
        <v>130</v>
      </c>
      <c r="E4" s="5">
        <v>40</v>
      </c>
      <c r="F4" s="20" t="s">
        <v>36</v>
      </c>
      <c r="G4" s="15">
        <v>45719</v>
      </c>
      <c r="H4" s="17" t="s">
        <v>116</v>
      </c>
      <c r="I4" t="str">
        <f t="shared" si="0"/>
        <v>Keurig Coffee Maker</v>
      </c>
    </row>
    <row r="5" spans="1:11" x14ac:dyDescent="0.25">
      <c r="A5" s="8" t="s">
        <v>37</v>
      </c>
      <c r="B5" s="5" t="s">
        <v>96</v>
      </c>
      <c r="C5" s="8" t="s">
        <v>39</v>
      </c>
      <c r="D5" s="12">
        <v>900</v>
      </c>
      <c r="E5" s="8">
        <v>25</v>
      </c>
      <c r="F5" s="21" t="s">
        <v>28</v>
      </c>
      <c r="G5" s="15">
        <v>45758</v>
      </c>
      <c r="H5" s="17" t="s">
        <v>116</v>
      </c>
      <c r="I5" t="str">
        <f t="shared" si="0"/>
        <v>Samsung Smartphone</v>
      </c>
    </row>
    <row r="6" spans="1:11" x14ac:dyDescent="0.25">
      <c r="A6" s="5" t="s">
        <v>40</v>
      </c>
      <c r="B6" s="5" t="s">
        <v>41</v>
      </c>
      <c r="C6" s="5" t="s">
        <v>42</v>
      </c>
      <c r="D6" s="11">
        <v>70</v>
      </c>
      <c r="E6" s="5">
        <v>20</v>
      </c>
      <c r="F6" s="20" t="s">
        <v>132</v>
      </c>
      <c r="G6" s="15">
        <v>45799</v>
      </c>
      <c r="H6" s="17" t="s">
        <v>116</v>
      </c>
      <c r="I6" t="str">
        <f t="shared" si="0"/>
        <v>North Face Backpack</v>
      </c>
    </row>
    <row r="7" spans="1:11" x14ac:dyDescent="0.25">
      <c r="A7" s="8" t="s">
        <v>43</v>
      </c>
      <c r="B7" s="5" t="s">
        <v>44</v>
      </c>
      <c r="C7" s="8" t="s">
        <v>45</v>
      </c>
      <c r="D7" s="12">
        <v>130</v>
      </c>
      <c r="E7" s="8">
        <v>45</v>
      </c>
      <c r="F7" s="21" t="s">
        <v>28</v>
      </c>
      <c r="G7" s="15">
        <v>45815</v>
      </c>
      <c r="H7" s="17" t="s">
        <v>117</v>
      </c>
      <c r="I7" t="str">
        <f t="shared" si="0"/>
        <v>Sony Headphones</v>
      </c>
    </row>
    <row r="8" spans="1:11" x14ac:dyDescent="0.25">
      <c r="A8" s="5" t="s">
        <v>47</v>
      </c>
      <c r="B8" s="5" t="s">
        <v>131</v>
      </c>
      <c r="C8" s="5" t="s">
        <v>49</v>
      </c>
      <c r="D8" s="11">
        <v>30</v>
      </c>
      <c r="E8" s="5">
        <v>5</v>
      </c>
      <c r="F8" s="20" t="s">
        <v>32</v>
      </c>
      <c r="G8" s="15">
        <v>45857</v>
      </c>
      <c r="H8" s="17" t="s">
        <v>117</v>
      </c>
      <c r="I8" t="str">
        <f t="shared" si="0"/>
        <v>Adidas T-Shirt</v>
      </c>
    </row>
    <row r="9" spans="1:11" x14ac:dyDescent="0.25">
      <c r="A9" s="8" t="s">
        <v>50</v>
      </c>
      <c r="B9" s="5" t="s">
        <v>51</v>
      </c>
      <c r="C9" s="8" t="s">
        <v>52</v>
      </c>
      <c r="D9" s="12">
        <v>90</v>
      </c>
      <c r="E9" s="8">
        <v>35</v>
      </c>
      <c r="F9" s="21" t="s">
        <v>36</v>
      </c>
      <c r="G9" s="15">
        <v>45892</v>
      </c>
      <c r="H9" s="17" t="s">
        <v>117</v>
      </c>
      <c r="I9" t="str">
        <f t="shared" si="0"/>
        <v>Ninja Blender</v>
      </c>
      <c r="K9" s="13"/>
    </row>
    <row r="10" spans="1:11" x14ac:dyDescent="0.25">
      <c r="A10" s="5" t="s">
        <v>53</v>
      </c>
      <c r="B10" s="5" t="s">
        <v>54</v>
      </c>
      <c r="C10" s="5" t="s">
        <v>55</v>
      </c>
      <c r="D10" s="11">
        <v>500</v>
      </c>
      <c r="E10" s="5">
        <v>50</v>
      </c>
      <c r="F10" s="20" t="s">
        <v>28</v>
      </c>
      <c r="G10" s="15">
        <v>45905</v>
      </c>
      <c r="H10" s="17" t="s">
        <v>117</v>
      </c>
      <c r="I10" t="str">
        <f t="shared" si="0"/>
        <v>Apple Tablet</v>
      </c>
    </row>
    <row r="11" spans="1:11" x14ac:dyDescent="0.25">
      <c r="A11" s="8" t="s">
        <v>56</v>
      </c>
      <c r="B11" s="5" t="s">
        <v>57</v>
      </c>
      <c r="C11" s="8" t="s">
        <v>58</v>
      </c>
      <c r="D11" s="12">
        <v>130</v>
      </c>
      <c r="E11" s="8">
        <v>10</v>
      </c>
      <c r="F11" s="22" t="s">
        <v>59</v>
      </c>
      <c r="G11" s="15">
        <v>45944</v>
      </c>
      <c r="H11" s="17" t="s">
        <v>117</v>
      </c>
      <c r="I11" t="str">
        <f t="shared" si="0"/>
        <v>Timberland Hiking Boots</v>
      </c>
    </row>
    <row r="12" spans="1:11" x14ac:dyDescent="0.25">
      <c r="A12" s="5" t="s">
        <v>60</v>
      </c>
      <c r="B12" s="5" t="s">
        <v>61</v>
      </c>
      <c r="C12" s="5" t="s">
        <v>62</v>
      </c>
      <c r="D12" s="11">
        <v>950</v>
      </c>
      <c r="E12" s="5">
        <v>25</v>
      </c>
      <c r="F12" s="20" t="s">
        <v>28</v>
      </c>
      <c r="G12" s="15">
        <v>45825</v>
      </c>
      <c r="H12" s="17" t="s">
        <v>118</v>
      </c>
      <c r="I12" t="str">
        <f t="shared" si="0"/>
        <v>HP Laptop</v>
      </c>
    </row>
    <row r="13" spans="1:11" x14ac:dyDescent="0.25">
      <c r="A13" s="8" t="s">
        <v>63</v>
      </c>
      <c r="B13" s="5" t="s">
        <v>30</v>
      </c>
      <c r="C13" s="8" t="s">
        <v>49</v>
      </c>
      <c r="D13" s="12">
        <v>90</v>
      </c>
      <c r="E13" s="8">
        <v>40</v>
      </c>
      <c r="F13" s="23" t="s">
        <v>132</v>
      </c>
      <c r="G13" s="15">
        <v>45986</v>
      </c>
      <c r="H13" s="17" t="s">
        <v>119</v>
      </c>
      <c r="I13" t="str">
        <f t="shared" si="0"/>
        <v>Adidas Sneakers</v>
      </c>
    </row>
    <row r="14" spans="1:11" x14ac:dyDescent="0.25">
      <c r="A14" s="5" t="s">
        <v>64</v>
      </c>
      <c r="B14" s="5" t="s">
        <v>34</v>
      </c>
      <c r="C14" s="5" t="s">
        <v>65</v>
      </c>
      <c r="D14" s="11">
        <v>120</v>
      </c>
      <c r="E14" s="5">
        <v>35</v>
      </c>
      <c r="F14" s="20" t="s">
        <v>132</v>
      </c>
      <c r="G14" s="15">
        <v>45999</v>
      </c>
      <c r="H14" s="17" t="s">
        <v>120</v>
      </c>
      <c r="I14" t="str">
        <f t="shared" si="0"/>
        <v>Nespresso Coffee Maker</v>
      </c>
    </row>
    <row r="15" spans="1:11" x14ac:dyDescent="0.25">
      <c r="A15" s="8" t="s">
        <v>66</v>
      </c>
      <c r="B15" s="5" t="s">
        <v>67</v>
      </c>
      <c r="C15" s="8" t="s">
        <v>68</v>
      </c>
      <c r="D15" s="12">
        <v>150</v>
      </c>
      <c r="E15" s="8">
        <v>15</v>
      </c>
      <c r="F15" s="19" t="s">
        <v>28</v>
      </c>
      <c r="G15" s="15">
        <v>45706</v>
      </c>
      <c r="H15" s="17" t="s">
        <v>121</v>
      </c>
      <c r="I15" t="str">
        <f t="shared" si="0"/>
        <v>Fitbit Smartwatch</v>
      </c>
    </row>
    <row r="16" spans="1:11" x14ac:dyDescent="0.25">
      <c r="A16" s="5" t="s">
        <v>69</v>
      </c>
      <c r="B16" s="5" t="s">
        <v>44</v>
      </c>
      <c r="C16" s="5" t="s">
        <v>71</v>
      </c>
      <c r="D16" s="11">
        <v>250</v>
      </c>
      <c r="E16" s="5">
        <v>20</v>
      </c>
      <c r="F16" s="18" t="s">
        <v>28</v>
      </c>
      <c r="G16" s="15">
        <v>45763</v>
      </c>
      <c r="H16" s="17" t="s">
        <v>122</v>
      </c>
      <c r="I16" t="str">
        <f t="shared" si="0"/>
        <v>Bose Headphones</v>
      </c>
    </row>
    <row r="17" spans="1:9" x14ac:dyDescent="0.25">
      <c r="A17" s="8" t="s">
        <v>72</v>
      </c>
      <c r="B17" s="5" t="s">
        <v>73</v>
      </c>
      <c r="C17" s="8" t="s">
        <v>74</v>
      </c>
      <c r="D17" s="12">
        <v>50</v>
      </c>
      <c r="E17" s="8">
        <v>35</v>
      </c>
      <c r="F17" s="19" t="s">
        <v>75</v>
      </c>
      <c r="G17" s="15">
        <v>45890</v>
      </c>
      <c r="H17" s="17" t="s">
        <v>121</v>
      </c>
      <c r="I17" t="str">
        <f t="shared" si="0"/>
        <v>Samsonite Laptop Bag</v>
      </c>
    </row>
    <row r="18" spans="1:9" x14ac:dyDescent="0.25">
      <c r="A18" s="5" t="s">
        <v>76</v>
      </c>
      <c r="B18" s="5" t="s">
        <v>67</v>
      </c>
      <c r="C18" s="5" t="s">
        <v>77</v>
      </c>
      <c r="D18" s="11">
        <v>160</v>
      </c>
      <c r="E18" s="5">
        <v>15</v>
      </c>
      <c r="F18" s="18" t="s">
        <v>28</v>
      </c>
      <c r="G18" s="15">
        <v>45889</v>
      </c>
      <c r="H18" s="17" t="s">
        <v>123</v>
      </c>
      <c r="I18" t="str">
        <f t="shared" si="0"/>
        <v>Huawei Smartwatch</v>
      </c>
    </row>
    <row r="19" spans="1:9" x14ac:dyDescent="0.25">
      <c r="A19" s="8" t="s">
        <v>78</v>
      </c>
      <c r="B19" s="5" t="s">
        <v>61</v>
      </c>
      <c r="C19" s="8" t="s">
        <v>79</v>
      </c>
      <c r="D19" s="12">
        <v>980</v>
      </c>
      <c r="E19" s="8">
        <v>10</v>
      </c>
      <c r="F19" s="19" t="s">
        <v>28</v>
      </c>
      <c r="G19" s="15">
        <v>45684</v>
      </c>
      <c r="H19" s="17" t="s">
        <v>124</v>
      </c>
      <c r="I19" t="str">
        <f t="shared" si="0"/>
        <v>Asus Laptop</v>
      </c>
    </row>
    <row r="20" spans="1:9" x14ac:dyDescent="0.25">
      <c r="A20" s="5" t="s">
        <v>80</v>
      </c>
      <c r="B20" s="5" t="s">
        <v>81</v>
      </c>
      <c r="C20" s="5" t="s">
        <v>82</v>
      </c>
      <c r="D20" s="11">
        <v>150</v>
      </c>
      <c r="E20" s="5">
        <v>15</v>
      </c>
      <c r="F20" s="18" t="s">
        <v>32</v>
      </c>
      <c r="G20" s="15">
        <v>45717</v>
      </c>
      <c r="H20" s="17" t="s">
        <v>117</v>
      </c>
      <c r="I20" t="str">
        <f t="shared" si="0"/>
        <v>Oakley Sunglasses</v>
      </c>
    </row>
    <row r="21" spans="1:9" x14ac:dyDescent="0.25">
      <c r="A21" s="8" t="s">
        <v>83</v>
      </c>
      <c r="B21" s="5" t="s">
        <v>84</v>
      </c>
      <c r="C21" s="8" t="s">
        <v>85</v>
      </c>
      <c r="D21" s="12">
        <v>130</v>
      </c>
      <c r="E21" s="8">
        <v>10</v>
      </c>
      <c r="F21" s="19" t="s">
        <v>59</v>
      </c>
      <c r="G21" s="15">
        <v>45883</v>
      </c>
      <c r="H21" s="17" t="s">
        <v>116</v>
      </c>
      <c r="I21" t="str">
        <f t="shared" si="0"/>
        <v>Coleman Camping Tent</v>
      </c>
    </row>
    <row r="22" spans="1:9" x14ac:dyDescent="0.25">
      <c r="A22" s="5" t="s">
        <v>86</v>
      </c>
      <c r="B22" s="5" t="s">
        <v>87</v>
      </c>
      <c r="C22" s="5" t="s">
        <v>88</v>
      </c>
      <c r="D22" s="11">
        <v>700</v>
      </c>
      <c r="E22" s="5">
        <v>50</v>
      </c>
      <c r="F22" s="18" t="s">
        <v>28</v>
      </c>
      <c r="G22" s="15">
        <v>45791</v>
      </c>
      <c r="H22" s="17" t="s">
        <v>125</v>
      </c>
      <c r="I22" t="str">
        <f t="shared" si="0"/>
        <v>Nikon Camera</v>
      </c>
    </row>
    <row r="23" spans="1:9" x14ac:dyDescent="0.25">
      <c r="A23" s="8" t="s">
        <v>89</v>
      </c>
      <c r="B23" s="5" t="s">
        <v>90</v>
      </c>
      <c r="C23" s="8" t="s">
        <v>91</v>
      </c>
      <c r="D23" s="12">
        <v>80</v>
      </c>
      <c r="E23" s="8">
        <v>20</v>
      </c>
      <c r="F23" s="19" t="s">
        <v>36</v>
      </c>
      <c r="G23" s="15">
        <v>45666</v>
      </c>
      <c r="H23" s="17" t="s">
        <v>121</v>
      </c>
      <c r="I23" t="str">
        <f t="shared" si="0"/>
        <v>Panasonic Microwave</v>
      </c>
    </row>
    <row r="24" spans="1:9" x14ac:dyDescent="0.25">
      <c r="A24" s="5" t="s">
        <v>92</v>
      </c>
      <c r="B24" s="5" t="s">
        <v>93</v>
      </c>
      <c r="C24" s="5" t="s">
        <v>94</v>
      </c>
      <c r="D24" s="11">
        <v>150</v>
      </c>
      <c r="E24" s="5">
        <v>30</v>
      </c>
      <c r="F24" s="18" t="s">
        <v>132</v>
      </c>
      <c r="G24" s="15">
        <v>45857</v>
      </c>
      <c r="H24" s="17" t="s">
        <v>126</v>
      </c>
      <c r="I24" t="str">
        <f t="shared" si="0"/>
        <v>Xiaomi Fitness Tracker</v>
      </c>
    </row>
    <row r="25" spans="1:9" x14ac:dyDescent="0.25">
      <c r="A25" s="5" t="s">
        <v>95</v>
      </c>
      <c r="B25" s="5" t="s">
        <v>96</v>
      </c>
      <c r="C25" s="5" t="s">
        <v>97</v>
      </c>
      <c r="D25" s="11">
        <v>800</v>
      </c>
      <c r="E25" s="5">
        <v>45</v>
      </c>
      <c r="F25" s="18" t="s">
        <v>28</v>
      </c>
      <c r="G25" s="15">
        <v>45929</v>
      </c>
      <c r="H25" s="17" t="s">
        <v>121</v>
      </c>
      <c r="I25" t="str">
        <f t="shared" si="0"/>
        <v>Google Smartphone</v>
      </c>
    </row>
    <row r="26" spans="1:9" x14ac:dyDescent="0.25">
      <c r="A26" s="8" t="s">
        <v>98</v>
      </c>
      <c r="B26" s="5" t="s">
        <v>81</v>
      </c>
      <c r="C26" s="8" t="s">
        <v>99</v>
      </c>
      <c r="D26" s="12">
        <v>130</v>
      </c>
      <c r="E26" s="8">
        <v>25</v>
      </c>
      <c r="F26" s="19" t="s">
        <v>32</v>
      </c>
      <c r="G26" s="15">
        <v>45811</v>
      </c>
      <c r="H26" s="17" t="s">
        <v>121</v>
      </c>
      <c r="I26" t="str">
        <f t="shared" si="0"/>
        <v>Ray-Ban Sunglasses</v>
      </c>
    </row>
    <row r="27" spans="1:9" x14ac:dyDescent="0.25">
      <c r="A27" s="5" t="s">
        <v>100</v>
      </c>
      <c r="B27" s="5" t="s">
        <v>51</v>
      </c>
      <c r="C27" s="5" t="s">
        <v>101</v>
      </c>
      <c r="D27" s="11">
        <v>400</v>
      </c>
      <c r="E27" s="5">
        <v>40</v>
      </c>
      <c r="F27" s="18" t="s">
        <v>36</v>
      </c>
      <c r="G27" s="15">
        <v>45849</v>
      </c>
      <c r="H27" s="17" t="s">
        <v>121</v>
      </c>
      <c r="I27" t="str">
        <f t="shared" si="0"/>
        <v>Vitamix Blender</v>
      </c>
    </row>
    <row r="28" spans="1:9" x14ac:dyDescent="0.25">
      <c r="A28" s="5" t="s">
        <v>102</v>
      </c>
      <c r="B28" s="5" t="s">
        <v>103</v>
      </c>
      <c r="C28" s="5" t="s">
        <v>104</v>
      </c>
      <c r="D28" s="11">
        <v>60</v>
      </c>
      <c r="E28" s="5">
        <v>30</v>
      </c>
      <c r="F28" s="18" t="s">
        <v>32</v>
      </c>
      <c r="G28" s="15">
        <v>45723</v>
      </c>
      <c r="H28" s="17" t="s">
        <v>121</v>
      </c>
      <c r="I28" t="str">
        <f t="shared" si="0"/>
        <v>Zara Dress</v>
      </c>
    </row>
    <row r="29" spans="1:9" x14ac:dyDescent="0.25">
      <c r="A29" s="8" t="s">
        <v>105</v>
      </c>
      <c r="B29" s="5" t="s">
        <v>106</v>
      </c>
      <c r="C29" s="8" t="s">
        <v>107</v>
      </c>
      <c r="D29" s="12">
        <v>40</v>
      </c>
      <c r="E29" s="8">
        <v>10</v>
      </c>
      <c r="F29" s="19" t="s">
        <v>36</v>
      </c>
      <c r="G29" s="15">
        <v>45760</v>
      </c>
      <c r="H29" s="17" t="s">
        <v>121</v>
      </c>
      <c r="I29" t="str">
        <f t="shared" si="0"/>
        <v>Hamilton Toaster</v>
      </c>
    </row>
    <row r="30" spans="1:9" x14ac:dyDescent="0.25">
      <c r="A30" s="5" t="s">
        <v>108</v>
      </c>
      <c r="B30" s="5" t="s">
        <v>93</v>
      </c>
      <c r="C30" s="5" t="s">
        <v>109</v>
      </c>
      <c r="D30" s="11">
        <v>130</v>
      </c>
      <c r="E30" s="5">
        <v>5</v>
      </c>
      <c r="F30" s="18" t="s">
        <v>28</v>
      </c>
      <c r="G30" s="15">
        <v>45801</v>
      </c>
      <c r="H30" s="17" t="s">
        <v>121</v>
      </c>
      <c r="I30" t="str">
        <f t="shared" si="0"/>
        <v>Garmin Fitness Tracker</v>
      </c>
    </row>
    <row r="31" spans="1:9" x14ac:dyDescent="0.25">
      <c r="A31" s="8" t="s">
        <v>110</v>
      </c>
      <c r="B31" s="5" t="s">
        <v>111</v>
      </c>
      <c r="C31" s="8" t="s">
        <v>112</v>
      </c>
      <c r="D31" s="12">
        <v>50</v>
      </c>
      <c r="E31" s="8">
        <v>50</v>
      </c>
      <c r="F31" s="19" t="s">
        <v>32</v>
      </c>
      <c r="G31" s="15">
        <v>45993</v>
      </c>
      <c r="H31" s="17" t="s">
        <v>121</v>
      </c>
      <c r="I31" t="str">
        <f t="shared" si="0"/>
        <v>Levi's Jeans</v>
      </c>
    </row>
    <row r="32" spans="1:9" x14ac:dyDescent="0.25">
      <c r="A32" s="8" t="s">
        <v>113</v>
      </c>
      <c r="B32" s="5" t="s">
        <v>114</v>
      </c>
      <c r="C32" s="8" t="s">
        <v>115</v>
      </c>
      <c r="D32" s="12">
        <v>100</v>
      </c>
      <c r="E32" s="8">
        <v>20</v>
      </c>
      <c r="F32" s="19" t="s">
        <v>75</v>
      </c>
      <c r="G32" s="15">
        <v>45847</v>
      </c>
      <c r="H32" s="17" t="s">
        <v>127</v>
      </c>
      <c r="I32" t="str">
        <f t="shared" si="0"/>
        <v>Casio Watch</v>
      </c>
    </row>
    <row r="33" spans="4:7" x14ac:dyDescent="0.25">
      <c r="D33"/>
      <c r="G33"/>
    </row>
    <row r="34" spans="4:7" x14ac:dyDescent="0.25">
      <c r="D34"/>
      <c r="G34"/>
    </row>
    <row r="35" spans="4:7" x14ac:dyDescent="0.25">
      <c r="D35"/>
      <c r="G35"/>
    </row>
    <row r="37" spans="4:7" x14ac:dyDescent="0.25">
      <c r="E37" s="25"/>
      <c r="F37" s="26"/>
    </row>
    <row r="38" spans="4:7" x14ac:dyDescent="0.25">
      <c r="F38" s="25"/>
    </row>
    <row r="39" spans="4:7" x14ac:dyDescent="0.25">
      <c r="D39" s="24"/>
    </row>
  </sheetData>
  <conditionalFormatting sqref="D2:D3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{C38FD7F9-F873-4C4C-9434-30B814CF0C86}</x14:id>
        </ext>
      </extLst>
    </cfRule>
  </conditionalFormatting>
  <conditionalFormatting sqref="F2:F32">
    <cfRule type="expression" dxfId="2" priority="1">
      <formula>F2="Electronics"</formula>
    </cfRule>
    <cfRule type="expression" dxfId="1" priority="2">
      <formula>D2="Electronics"</formula>
    </cfRule>
    <cfRule type="expression" priority="3">
      <formula>D2="Electronics"</formula>
    </cfRule>
    <cfRule type="containsText" dxfId="0" priority="4" operator="containsText" text="Electronics">
      <formula>NOT(ISERROR(SEARCH("Electronics",F2)))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8FD7F9-F873-4C4C-9434-30B814CF0C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Seric Sunil</dc:creator>
  <cp:lastModifiedBy>sericsunil579@gmail.com</cp:lastModifiedBy>
  <dcterms:created xsi:type="dcterms:W3CDTF">2026-08-24T13:16:06Z</dcterms:created>
  <dcterms:modified xsi:type="dcterms:W3CDTF">2026-08-25T09:44:31Z</dcterms:modified>
</cp:coreProperties>
</file>